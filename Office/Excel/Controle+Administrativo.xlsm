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ulio\Documents\Curso\Office\Excel\"/>
    </mc:Choice>
  </mc:AlternateContent>
  <xr:revisionPtr revIDLastSave="0" documentId="13_ncr:1_{62DBD060-7056-47E5-BC4C-5B602648140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endas" sheetId="1" r:id="rId1"/>
    <sheet name="Análises" sheetId="2" r:id="rId2"/>
    <sheet name="Controle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3" l="1"/>
  <c r="E17" i="3"/>
  <c r="E18" i="3"/>
  <c r="E15" i="3"/>
  <c r="B16" i="3"/>
  <c r="B17" i="3"/>
  <c r="B18" i="3"/>
  <c r="B15" i="3"/>
  <c r="C16" i="2"/>
  <c r="D16" i="2"/>
  <c r="E16" i="2"/>
  <c r="G24" i="2"/>
  <c r="B28" i="3" s="1"/>
  <c r="H24" i="2"/>
  <c r="I24" i="2"/>
  <c r="D19" i="2"/>
  <c r="D20" i="2"/>
  <c r="E26" i="2"/>
  <c r="E17" i="2"/>
  <c r="E18" i="2"/>
  <c r="E19" i="2"/>
  <c r="E20" i="2"/>
  <c r="E24" i="2"/>
  <c r="J17" i="2"/>
  <c r="J18" i="2"/>
  <c r="J16" i="2"/>
  <c r="E25" i="2"/>
  <c r="E27" i="2"/>
  <c r="I17" i="2"/>
  <c r="I18" i="2"/>
  <c r="I16" i="2"/>
  <c r="D25" i="2"/>
  <c r="G16" i="3" s="1"/>
  <c r="H16" i="3" s="1"/>
  <c r="I16" i="3" s="1"/>
  <c r="D26" i="2"/>
  <c r="G17" i="3" s="1"/>
  <c r="H17" i="3" s="1"/>
  <c r="I17" i="3" s="1"/>
  <c r="D27" i="2"/>
  <c r="G18" i="3" s="1"/>
  <c r="H18" i="3" s="1"/>
  <c r="I18" i="3" s="1"/>
  <c r="D24" i="2"/>
  <c r="G15" i="3" s="1"/>
  <c r="H15" i="3" s="1"/>
  <c r="I15" i="3" s="1"/>
  <c r="D17" i="2"/>
  <c r="D18" i="2"/>
  <c r="H17" i="2"/>
  <c r="H18" i="2"/>
  <c r="H16" i="2"/>
  <c r="C17" i="2"/>
  <c r="C18" i="2"/>
  <c r="C19" i="2"/>
  <c r="C20" i="2"/>
  <c r="C25" i="2"/>
  <c r="C26" i="2"/>
  <c r="C27" i="2"/>
  <c r="C24" i="2"/>
  <c r="E20" i="3" l="1"/>
  <c r="C28" i="3" s="1"/>
  <c r="D28" i="3" s="1"/>
  <c r="B30" i="3" s="1"/>
</calcChain>
</file>

<file path=xl/sharedStrings.xml><?xml version="1.0" encoding="utf-8"?>
<sst xmlns="http://schemas.openxmlformats.org/spreadsheetml/2006/main" count="121" uniqueCount="42">
  <si>
    <t>VENDEDOR(A)</t>
  </si>
  <si>
    <t>PRODUTO</t>
  </si>
  <si>
    <t>PREÇO</t>
  </si>
  <si>
    <t>ESTADO</t>
  </si>
  <si>
    <t>Júlio César Queiroz Carvalho</t>
  </si>
  <si>
    <t>CPU</t>
  </si>
  <si>
    <t>Minas Gerais</t>
  </si>
  <si>
    <t>Andréia Martins Q. Carvalho</t>
  </si>
  <si>
    <t>HeadSet</t>
  </si>
  <si>
    <t>Monitor</t>
  </si>
  <si>
    <t>Amazonas</t>
  </si>
  <si>
    <t>Rio De Janeiro</t>
  </si>
  <si>
    <t>Bahia</t>
  </si>
  <si>
    <t>REGISTRO DE VENDAS</t>
  </si>
  <si>
    <t>Controle Administrativo</t>
  </si>
  <si>
    <t>Faturamento Total</t>
  </si>
  <si>
    <t>Média De  Faturamento</t>
  </si>
  <si>
    <t>Faturamento Regional</t>
  </si>
  <si>
    <t>São Paulo</t>
  </si>
  <si>
    <t>Faturamento por Produto</t>
  </si>
  <si>
    <t>Mouse</t>
  </si>
  <si>
    <t>Faturamento por Vendendor(a)</t>
  </si>
  <si>
    <t>Paulo César de Carvalho</t>
  </si>
  <si>
    <t>Quant. Vendas</t>
  </si>
  <si>
    <t>DADOS:</t>
  </si>
  <si>
    <t>GRÁFICOS:</t>
  </si>
  <si>
    <t>MENU:</t>
  </si>
  <si>
    <t>VENDAS:</t>
  </si>
  <si>
    <t>ESTOQUE E CUSTO:</t>
  </si>
  <si>
    <t>Produto</t>
  </si>
  <si>
    <t>Custo</t>
  </si>
  <si>
    <t>Total</t>
  </si>
  <si>
    <t>Vendas realizadas</t>
  </si>
  <si>
    <t>Estoque atual</t>
  </si>
  <si>
    <t>Situação</t>
  </si>
  <si>
    <t>Estoque Inicial</t>
  </si>
  <si>
    <t>Faturamento</t>
  </si>
  <si>
    <t>Região</t>
  </si>
  <si>
    <t>Vendendor(a)</t>
  </si>
  <si>
    <t>CONTROLE FINANCEIRO:</t>
  </si>
  <si>
    <t>Custos</t>
  </si>
  <si>
    <t>Atual Faturamento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</si>
</sst>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theme="8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rgb="FF000040"/>
      </left>
      <right style="thin">
        <color rgb="FF000040"/>
      </right>
      <top style="thin">
        <color rgb="FF000040"/>
      </top>
      <bottom style="thin">
        <color rgb="FF000040"/>
      </bottom>
      <diagonal/>
    </border>
    <border>
      <left/>
      <right/>
      <top style="thick">
        <color rgb="FF000040"/>
      </top>
      <bottom/>
      <diagonal/>
    </border>
    <border>
      <left/>
      <right/>
      <top/>
      <bottom style="thick">
        <color rgb="FF00004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40"/>
      </left>
      <right style="thin">
        <color rgb="FF000040"/>
      </right>
      <top/>
      <bottom style="thin">
        <color rgb="FF0000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79">
    <xf numFmtId="0" fontId="0" fillId="0" borderId="0" xfId="0"/>
    <xf numFmtId="44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4" fontId="0" fillId="0" borderId="1" xfId="0" applyNumberFormat="1" applyBorder="1" applyAlignment="1">
      <alignment horizontal="right"/>
    </xf>
    <xf numFmtId="44" fontId="0" fillId="0" borderId="0" xfId="0" applyNumberFormat="1" applyAlignment="1">
      <alignment horizontal="right"/>
    </xf>
    <xf numFmtId="44" fontId="0" fillId="0" borderId="0" xfId="1" applyFont="1" applyAlignment="1">
      <alignment horizontal="left"/>
    </xf>
    <xf numFmtId="44" fontId="0" fillId="0" borderId="1" xfId="1" applyFont="1" applyBorder="1" applyAlignment="1">
      <alignment horizontal="left"/>
    </xf>
    <xf numFmtId="0" fontId="3" fillId="3" borderId="0" xfId="0" applyFont="1" applyFill="1" applyAlignment="1">
      <alignment horizontal="right" vertical="top" indent="2"/>
    </xf>
    <xf numFmtId="0" fontId="4" fillId="4" borderId="0" xfId="0" applyFont="1" applyFill="1" applyAlignment="1">
      <alignment horizontal="center"/>
    </xf>
    <xf numFmtId="0" fontId="4" fillId="4" borderId="0" xfId="0" applyFont="1" applyFill="1"/>
    <xf numFmtId="0" fontId="1" fillId="3" borderId="3" xfId="0" applyFont="1" applyFill="1" applyBorder="1" applyAlignment="1">
      <alignment horizontal="right"/>
    </xf>
    <xf numFmtId="0" fontId="3" fillId="3" borderId="0" xfId="0" applyFont="1" applyFill="1" applyAlignment="1">
      <alignment horizontal="right" vertical="top"/>
    </xf>
    <xf numFmtId="0" fontId="1" fillId="3" borderId="4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center"/>
    </xf>
    <xf numFmtId="44" fontId="1" fillId="3" borderId="4" xfId="0" applyNumberFormat="1" applyFont="1" applyFill="1" applyBorder="1" applyAlignment="1">
      <alignment horizontal="center"/>
    </xf>
    <xf numFmtId="0" fontId="0" fillId="2" borderId="2" xfId="0" applyFill="1" applyBorder="1"/>
    <xf numFmtId="0" fontId="0" fillId="2" borderId="0" xfId="0" applyFill="1"/>
    <xf numFmtId="0" fontId="1" fillId="2" borderId="2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right" indent="2"/>
    </xf>
    <xf numFmtId="0" fontId="1" fillId="2" borderId="2" xfId="0" applyFont="1" applyFill="1" applyBorder="1" applyAlignment="1">
      <alignment horizontal="left" indent="2"/>
    </xf>
    <xf numFmtId="0" fontId="1" fillId="3" borderId="3" xfId="0" applyFont="1" applyFill="1" applyBorder="1"/>
    <xf numFmtId="0" fontId="1" fillId="3" borderId="3" xfId="0" applyFont="1" applyFill="1" applyBorder="1" applyAlignment="1">
      <alignment horizontal="right"/>
    </xf>
    <xf numFmtId="0" fontId="4" fillId="4" borderId="0" xfId="0" applyFont="1" applyFill="1" applyAlignment="1">
      <alignment horizontal="center"/>
    </xf>
    <xf numFmtId="0" fontId="3" fillId="3" borderId="0" xfId="0" applyFont="1" applyFill="1" applyAlignment="1">
      <alignment horizontal="right" vertical="top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44" fontId="0" fillId="2" borderId="0" xfId="0" applyNumberFormat="1" applyFill="1" applyAlignment="1">
      <alignment horizontal="right"/>
    </xf>
    <xf numFmtId="44" fontId="0" fillId="2" borderId="2" xfId="0" applyNumberForma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44" fontId="0" fillId="0" borderId="4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44" fontId="6" fillId="0" borderId="4" xfId="0" applyNumberFormat="1" applyFont="1" applyBorder="1" applyAlignment="1">
      <alignment horizontal="right"/>
    </xf>
    <xf numFmtId="0" fontId="6" fillId="0" borderId="4" xfId="0" applyFont="1" applyBorder="1" applyAlignment="1">
      <alignment horizontal="left"/>
    </xf>
    <xf numFmtId="0" fontId="0" fillId="2" borderId="0" xfId="0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44" fontId="0" fillId="0" borderId="4" xfId="1" applyFont="1" applyBorder="1" applyAlignment="1">
      <alignment horizontal="left"/>
    </xf>
    <xf numFmtId="0" fontId="0" fillId="0" borderId="5" xfId="0" applyBorder="1" applyAlignment="1">
      <alignment horizontal="left"/>
    </xf>
    <xf numFmtId="44" fontId="0" fillId="0" borderId="5" xfId="1" applyFont="1" applyBorder="1" applyAlignment="1">
      <alignment horizontal="left"/>
    </xf>
    <xf numFmtId="0" fontId="0" fillId="0" borderId="5" xfId="0" applyBorder="1" applyAlignment="1">
      <alignment horizontal="center"/>
    </xf>
    <xf numFmtId="44" fontId="0" fillId="0" borderId="5" xfId="0" applyNumberFormat="1" applyBorder="1" applyAlignment="1">
      <alignment horizontal="right"/>
    </xf>
    <xf numFmtId="44" fontId="0" fillId="0" borderId="6" xfId="0" applyNumberFormat="1" applyBorder="1"/>
    <xf numFmtId="0" fontId="0" fillId="0" borderId="6" xfId="0" applyBorder="1"/>
    <xf numFmtId="0" fontId="5" fillId="3" borderId="7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vertical="center"/>
    </xf>
    <xf numFmtId="0" fontId="1" fillId="4" borderId="4" xfId="0" applyFont="1" applyFill="1" applyBorder="1" applyAlignment="1">
      <alignment horizontal="center"/>
    </xf>
    <xf numFmtId="44" fontId="1" fillId="4" borderId="4" xfId="0" applyNumberFormat="1" applyFont="1" applyFill="1" applyBorder="1" applyAlignment="1">
      <alignment horizontal="right"/>
    </xf>
    <xf numFmtId="44" fontId="1" fillId="4" borderId="4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3" fillId="3" borderId="0" xfId="0" applyFont="1" applyFill="1" applyAlignment="1">
      <alignment vertical="top"/>
    </xf>
    <xf numFmtId="0" fontId="1" fillId="3" borderId="3" xfId="0" applyFont="1" applyFill="1" applyBorder="1" applyAlignment="1"/>
    <xf numFmtId="44" fontId="0" fillId="0" borderId="0" xfId="0" applyNumberFormat="1" applyBorder="1" applyAlignment="1">
      <alignment horizontal="right"/>
    </xf>
    <xf numFmtId="0" fontId="5" fillId="3" borderId="4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left"/>
    </xf>
    <xf numFmtId="44" fontId="6" fillId="0" borderId="0" xfId="0" applyNumberFormat="1" applyFont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right"/>
    </xf>
    <xf numFmtId="44" fontId="0" fillId="0" borderId="4" xfId="0" applyNumberFormat="1" applyBorder="1" applyAlignment="1">
      <alignment horizontal="left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 indent="2"/>
    </xf>
    <xf numFmtId="0" fontId="3" fillId="3" borderId="3" xfId="0" applyFont="1" applyFill="1" applyBorder="1" applyAlignment="1">
      <alignment horizontal="left" vertical="center" indent="2"/>
    </xf>
    <xf numFmtId="0" fontId="1" fillId="3" borderId="4" xfId="0" applyFont="1" applyFill="1" applyBorder="1"/>
  </cellXfs>
  <cellStyles count="2">
    <cellStyle name="Moeda" xfId="1" builtinId="4"/>
    <cellStyle name="Normal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Faturamento por Região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Análises!$B$16:$B$20</c:f>
              <c:strCache>
                <c:ptCount val="5"/>
                <c:pt idx="0">
                  <c:v>Amazonas</c:v>
                </c:pt>
                <c:pt idx="1">
                  <c:v>Bahia</c:v>
                </c:pt>
                <c:pt idx="2">
                  <c:v>Minas Gerais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Análises!$C$16:$C$20</c:f>
              <c:numCache>
                <c:formatCode>_("R$"* #,##0.00_);_("R$"* \(#,##0.00\);_("R$"* "-"??_);_(@_)</c:formatCode>
                <c:ptCount val="5"/>
                <c:pt idx="0">
                  <c:v>6000</c:v>
                </c:pt>
                <c:pt idx="1">
                  <c:v>0</c:v>
                </c:pt>
                <c:pt idx="2">
                  <c:v>21050</c:v>
                </c:pt>
                <c:pt idx="3">
                  <c:v>12725</c:v>
                </c:pt>
                <c:pt idx="4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3-4A7D-8728-F054EA50E6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Quant.</a:t>
            </a:r>
            <a:r>
              <a:rPr lang="pt-BR" b="1" baseline="0">
                <a:solidFill>
                  <a:srgbClr val="000040"/>
                </a:solidFill>
              </a:rPr>
              <a:t> Vendas por Região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Análises!$B$16:$B$20</c:f>
              <c:strCache>
                <c:ptCount val="5"/>
                <c:pt idx="0">
                  <c:v>Amazonas</c:v>
                </c:pt>
                <c:pt idx="1">
                  <c:v>Bahia</c:v>
                </c:pt>
                <c:pt idx="2">
                  <c:v>Minas Gerais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Análises!$D$16:$D$20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8</c:v>
                </c:pt>
                <c:pt idx="3">
                  <c:v>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F-49E1-B2FD-2F46C8758A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Faturamento</a:t>
            </a:r>
            <a:r>
              <a:rPr lang="pt-BR" b="1" baseline="0">
                <a:solidFill>
                  <a:srgbClr val="000040"/>
                </a:solidFill>
              </a:rPr>
              <a:t> por Produto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00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93-4E41-8805-E4C3CEE54E77}"/>
              </c:ext>
            </c:extLst>
          </c:dPt>
          <c:dPt>
            <c:idx val="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793-4E41-8805-E4C3CEE54E77}"/>
              </c:ext>
            </c:extLst>
          </c:dPt>
          <c:dPt>
            <c:idx val="2"/>
            <c:bubble3D val="0"/>
            <c:spPr>
              <a:solidFill>
                <a:schemeClr val="accent5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1B-4D04-9D5C-958D72D4133F}"/>
              </c:ext>
            </c:extLst>
          </c:dPt>
          <c:dPt>
            <c:idx val="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93-4E41-8805-E4C3CEE54E77}"/>
              </c:ext>
            </c:extLst>
          </c:dPt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Análises!$B$24:$B$27</c:f>
              <c:strCache>
                <c:ptCount val="4"/>
                <c:pt idx="0">
                  <c:v>CPU</c:v>
                </c:pt>
                <c:pt idx="1">
                  <c:v>HeadSet</c:v>
                </c:pt>
                <c:pt idx="2">
                  <c:v>Monitor</c:v>
                </c:pt>
                <c:pt idx="3">
                  <c:v>Mouse</c:v>
                </c:pt>
              </c:strCache>
            </c:strRef>
          </c:cat>
          <c:val>
            <c:numRef>
              <c:f>Análises!$C$24:$C$27</c:f>
              <c:numCache>
                <c:formatCode>_("R$"* #,##0.00_);_("R$"* \(#,##0.00\);_("R$"* "-"??_);_(@_)</c:formatCode>
                <c:ptCount val="4"/>
                <c:pt idx="0">
                  <c:v>33550</c:v>
                </c:pt>
                <c:pt idx="1">
                  <c:v>4925</c:v>
                </c:pt>
                <c:pt idx="2">
                  <c:v>700</c:v>
                </c:pt>
                <c:pt idx="3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3-4E41-8805-E4C3CEE54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 baseline="0">
                <a:solidFill>
                  <a:srgbClr val="000040"/>
                </a:solidFill>
              </a:rPr>
              <a:t>Quant. Vendas por Produto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00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F4-4A33-B9AE-C387127E00B6}"/>
              </c:ext>
            </c:extLst>
          </c:dPt>
          <c:dPt>
            <c:idx val="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F4-4A33-B9AE-C387127E00B6}"/>
              </c:ext>
            </c:extLst>
          </c:dPt>
          <c:dPt>
            <c:idx val="2"/>
            <c:bubble3D val="0"/>
            <c:spPr>
              <a:solidFill>
                <a:schemeClr val="accent5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F4-4A33-B9AE-C387127E00B6}"/>
              </c:ext>
            </c:extLst>
          </c:dPt>
          <c:dPt>
            <c:idx val="3"/>
            <c:bubble3D val="0"/>
            <c:spPr>
              <a:solidFill>
                <a:schemeClr val="accent5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F4-4A33-B9AE-C387127E00B6}"/>
              </c:ext>
            </c:extLst>
          </c:dPt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Análises!$B$24:$B$27</c:f>
              <c:strCache>
                <c:ptCount val="4"/>
                <c:pt idx="0">
                  <c:v>CPU</c:v>
                </c:pt>
                <c:pt idx="1">
                  <c:v>HeadSet</c:v>
                </c:pt>
                <c:pt idx="2">
                  <c:v>Monitor</c:v>
                </c:pt>
                <c:pt idx="3">
                  <c:v>Mouse</c:v>
                </c:pt>
              </c:strCache>
            </c:strRef>
          </c:cat>
          <c:val>
            <c:numRef>
              <c:f>Análises!$D$24:$D$27</c:f>
              <c:numCache>
                <c:formatCode>General</c:formatCode>
                <c:ptCount val="4"/>
                <c:pt idx="0">
                  <c:v>9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F4-4A33-B9AE-C387127E0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Faturamento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Análises!$G$16:$G$18</c:f>
              <c:strCache>
                <c:ptCount val="3"/>
                <c:pt idx="0">
                  <c:v>Andréia Martins Q. Carvalho</c:v>
                </c:pt>
                <c:pt idx="1">
                  <c:v>Júlio César Queiroz Carvalho</c:v>
                </c:pt>
                <c:pt idx="2">
                  <c:v>Paulo César de Carvalho</c:v>
                </c:pt>
              </c:strCache>
            </c:strRef>
          </c:cat>
          <c:val>
            <c:numRef>
              <c:f>Análises!$H$16:$H$18</c:f>
              <c:numCache>
                <c:formatCode>_("R$"* #,##0.00_);_("R$"* \(#,##0.00\);_("R$"* "-"??_);_(@_)</c:formatCode>
                <c:ptCount val="3"/>
                <c:pt idx="0">
                  <c:v>12525</c:v>
                </c:pt>
                <c:pt idx="1">
                  <c:v>27550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5-44F6-B6F1-890AB7B7D4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in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Quant.</a:t>
            </a:r>
            <a:r>
              <a:rPr lang="pt-BR" b="1" baseline="0">
                <a:solidFill>
                  <a:srgbClr val="000040"/>
                </a:solidFill>
              </a:rPr>
              <a:t> Vendas por Vendedor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Análises!$G$16:$G$18</c:f>
              <c:strCache>
                <c:ptCount val="3"/>
                <c:pt idx="0">
                  <c:v>Andréia Martins Q. Carvalho</c:v>
                </c:pt>
                <c:pt idx="1">
                  <c:v>Júlio César Queiroz Carvalho</c:v>
                </c:pt>
                <c:pt idx="2">
                  <c:v>Paulo César de Carvalho</c:v>
                </c:pt>
              </c:strCache>
            </c:strRef>
          </c:cat>
          <c:val>
            <c:numRef>
              <c:f>Análises!$I$16:$I$18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5-46E4-887A-824A909C86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Controle!A1"/><Relationship Id="rId1" Type="http://schemas.openxmlformats.org/officeDocument/2006/relationships/hyperlink" Target="#An&#225;lise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trole!A1"/><Relationship Id="rId3" Type="http://schemas.openxmlformats.org/officeDocument/2006/relationships/chart" Target="../charts/chart3.xml"/><Relationship Id="rId7" Type="http://schemas.openxmlformats.org/officeDocument/2006/relationships/hyperlink" Target="#Venda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An&#225;lis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7</xdr:row>
      <xdr:rowOff>9524</xdr:rowOff>
    </xdr:from>
    <xdr:to>
      <xdr:col>5</xdr:col>
      <xdr:colOff>743550</xdr:colOff>
      <xdr:row>7</xdr:row>
      <xdr:rowOff>189524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49A3749-5D0F-6FB4-B844-1FECC4DFAA40}"/>
            </a:ext>
          </a:extLst>
        </xdr:cNvPr>
        <xdr:cNvGrpSpPr/>
      </xdr:nvGrpSpPr>
      <xdr:grpSpPr>
        <a:xfrm>
          <a:off x="209550" y="1343024"/>
          <a:ext cx="5772750" cy="180000"/>
          <a:chOff x="209550" y="1343024"/>
          <a:chExt cx="5772750" cy="180000"/>
        </a:xfrm>
      </xdr:grpSpPr>
      <xdr:sp macro="[0]!abrirCadastroDeVenda" textlink="">
        <xdr:nvSpPr>
          <xdr:cNvPr id="2" name="Retângulo 1">
            <a:extLst>
              <a:ext uri="{FF2B5EF4-FFF2-40B4-BE49-F238E27FC236}">
                <a16:creationId xmlns:a16="http://schemas.microsoft.com/office/drawing/2014/main" id="{D427BCA3-8C3D-4753-A150-5CEA9D6FF026}"/>
              </a:ext>
            </a:extLst>
          </xdr:cNvPr>
          <xdr:cNvSpPr/>
        </xdr:nvSpPr>
        <xdr:spPr>
          <a:xfrm>
            <a:off x="209550" y="1343024"/>
            <a:ext cx="1296000" cy="18000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28575">
            <a:solidFill>
              <a:srgbClr val="00004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000040"/>
                </a:solidFill>
              </a:rPr>
              <a:t>NOVA </a:t>
            </a:r>
            <a:r>
              <a:rPr lang="pt-BR" sz="1100" b="1" baseline="0">
                <a:solidFill>
                  <a:srgbClr val="000040"/>
                </a:solidFill>
              </a:rPr>
              <a:t>VENDA</a:t>
            </a:r>
            <a:endParaRPr lang="pt-BR" sz="1100" b="1">
              <a:solidFill>
                <a:srgbClr val="000040"/>
              </a:solidFill>
            </a:endParaRPr>
          </a:p>
        </xdr:txBody>
      </xdr:sp>
      <xdr:sp macro="[0]!mostraVendas" textlink="">
        <xdr:nvSpPr>
          <xdr:cNvPr id="7" name="Retângulo 6">
            <a:extLst>
              <a:ext uri="{FF2B5EF4-FFF2-40B4-BE49-F238E27FC236}">
                <a16:creationId xmlns:a16="http://schemas.microsoft.com/office/drawing/2014/main" id="{E3553476-3D8B-412D-ADC9-A1892C8704CC}"/>
              </a:ext>
            </a:extLst>
          </xdr:cNvPr>
          <xdr:cNvSpPr/>
        </xdr:nvSpPr>
        <xdr:spPr>
          <a:xfrm>
            <a:off x="1628775" y="1343024"/>
            <a:ext cx="1296000" cy="18000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28575">
            <a:solidFill>
              <a:srgbClr val="00004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000040"/>
                </a:solidFill>
              </a:rPr>
              <a:t>VENDAS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51F8D1-5CB3-4C27-A08A-FDC510231760}"/>
              </a:ext>
            </a:extLst>
          </xdr:cNvPr>
          <xdr:cNvSpPr/>
        </xdr:nvSpPr>
        <xdr:spPr>
          <a:xfrm>
            <a:off x="3267075" y="1343024"/>
            <a:ext cx="1296000" cy="180000"/>
          </a:xfrm>
          <a:prstGeom prst="rect">
            <a:avLst/>
          </a:prstGeom>
          <a:solidFill>
            <a:srgbClr val="000040"/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ANÁLISES</a:t>
            </a:r>
          </a:p>
        </xdr:txBody>
      </xdr:sp>
      <xdr:sp macro="" textlink="">
        <xdr:nvSpPr>
          <xdr:cNvPr id="3" name="Retângulo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16F1444-C4CA-4C06-A5C0-49328756D291}"/>
              </a:ext>
            </a:extLst>
          </xdr:cNvPr>
          <xdr:cNvSpPr/>
        </xdr:nvSpPr>
        <xdr:spPr>
          <a:xfrm>
            <a:off x="4686300" y="1343024"/>
            <a:ext cx="1296000" cy="180000"/>
          </a:xfrm>
          <a:prstGeom prst="rect">
            <a:avLst/>
          </a:prstGeom>
          <a:solidFill>
            <a:srgbClr val="000040"/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CONTROLE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200024</xdr:colOff>
      <xdr:row>32</xdr:row>
      <xdr:rowOff>4762</xdr:rowOff>
    </xdr:from>
    <xdr:to>
      <xdr:col>4</xdr:col>
      <xdr:colOff>1420199</xdr:colOff>
      <xdr:row>44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6F120BB-EF06-EBC4-B656-63C85D6DC1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4</xdr:col>
      <xdr:colOff>1504950</xdr:colOff>
      <xdr:row>32</xdr:row>
      <xdr:rowOff>0</xdr:rowOff>
    </xdr:from>
    <xdr:to>
      <xdr:col>8</xdr:col>
      <xdr:colOff>1572600</xdr:colOff>
      <xdr:row>43</xdr:row>
      <xdr:rowOff>186900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E77D85CE-2362-4012-971B-61C93836F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1</xdr:col>
      <xdr:colOff>0</xdr:colOff>
      <xdr:row>45</xdr:row>
      <xdr:rowOff>14286</xdr:rowOff>
    </xdr:from>
    <xdr:to>
      <xdr:col>4</xdr:col>
      <xdr:colOff>1419225</xdr:colOff>
      <xdr:row>56</xdr:row>
      <xdr:rowOff>186786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FCA8130-2B27-F444-4846-2C46C88A9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4</xdr:col>
      <xdr:colOff>1504950</xdr:colOff>
      <xdr:row>45</xdr:row>
      <xdr:rowOff>9525</xdr:rowOff>
    </xdr:from>
    <xdr:to>
      <xdr:col>8</xdr:col>
      <xdr:colOff>1572600</xdr:colOff>
      <xdr:row>56</xdr:row>
      <xdr:rowOff>182025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1FB7FF-938F-46EF-88E7-9B176BDEC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200024</xdr:colOff>
      <xdr:row>58</xdr:row>
      <xdr:rowOff>4762</xdr:rowOff>
    </xdr:from>
    <xdr:to>
      <xdr:col>4</xdr:col>
      <xdr:colOff>1420199</xdr:colOff>
      <xdr:row>70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97D0D61-645B-4AAB-9241-EDA73AED6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4</xdr:col>
      <xdr:colOff>1504950</xdr:colOff>
      <xdr:row>58</xdr:row>
      <xdr:rowOff>0</xdr:rowOff>
    </xdr:from>
    <xdr:to>
      <xdr:col>8</xdr:col>
      <xdr:colOff>1572600</xdr:colOff>
      <xdr:row>69</xdr:row>
      <xdr:rowOff>186900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04DD40A-6B96-4EC0-8AFE-4AF9D7BFA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</xdr:col>
      <xdr:colOff>9523</xdr:colOff>
      <xdr:row>7</xdr:row>
      <xdr:rowOff>9525</xdr:rowOff>
    </xdr:from>
    <xdr:to>
      <xdr:col>6</xdr:col>
      <xdr:colOff>600675</xdr:colOff>
      <xdr:row>7</xdr:row>
      <xdr:rowOff>189525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AD5799D-1F8B-DD09-831A-E0737D9191CE}"/>
            </a:ext>
          </a:extLst>
        </xdr:cNvPr>
        <xdr:cNvGrpSpPr/>
      </xdr:nvGrpSpPr>
      <xdr:grpSpPr>
        <a:xfrm>
          <a:off x="209548" y="1343025"/>
          <a:ext cx="5782277" cy="180000"/>
          <a:chOff x="209548" y="1343025"/>
          <a:chExt cx="5782277" cy="180000"/>
        </a:xfrm>
      </xdr:grpSpPr>
      <xdr:sp macro="[0]!MostraDados" textlink="">
        <xdr:nvSpPr>
          <xdr:cNvPr id="6" name="Retângulo 5">
            <a:extLst>
              <a:ext uri="{FF2B5EF4-FFF2-40B4-BE49-F238E27FC236}">
                <a16:creationId xmlns:a16="http://schemas.microsoft.com/office/drawing/2014/main" id="{393C8B04-E0D5-CB46-FFD2-9E35A7FAF5DB}"/>
              </a:ext>
            </a:extLst>
          </xdr:cNvPr>
          <xdr:cNvSpPr/>
        </xdr:nvSpPr>
        <xdr:spPr>
          <a:xfrm>
            <a:off x="209548" y="1343025"/>
            <a:ext cx="1296000" cy="18000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28575">
            <a:solidFill>
              <a:srgbClr val="00004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000040"/>
                </a:solidFill>
              </a:rPr>
              <a:t>DADOS</a:t>
            </a:r>
          </a:p>
        </xdr:txBody>
      </xdr:sp>
      <xdr:sp macro="[0]!mostraGraficos" textlink="">
        <xdr:nvSpPr>
          <xdr:cNvPr id="7" name="Retângulo 6">
            <a:extLst>
              <a:ext uri="{FF2B5EF4-FFF2-40B4-BE49-F238E27FC236}">
                <a16:creationId xmlns:a16="http://schemas.microsoft.com/office/drawing/2014/main" id="{304AF578-BFCE-4CA8-8E9B-0301B7214B3F}"/>
              </a:ext>
            </a:extLst>
          </xdr:cNvPr>
          <xdr:cNvSpPr/>
        </xdr:nvSpPr>
        <xdr:spPr>
          <a:xfrm>
            <a:off x="1628775" y="1343025"/>
            <a:ext cx="1296000" cy="18000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28575">
            <a:solidFill>
              <a:srgbClr val="00004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000040"/>
                </a:solidFill>
              </a:rPr>
              <a:t>GRÁFICOS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68FA1B79-DDC4-36E5-8151-43FF9F9F30ED}"/>
              </a:ext>
            </a:extLst>
          </xdr:cNvPr>
          <xdr:cNvSpPr/>
        </xdr:nvSpPr>
        <xdr:spPr>
          <a:xfrm>
            <a:off x="3267075" y="1343025"/>
            <a:ext cx="1296000" cy="180000"/>
          </a:xfrm>
          <a:prstGeom prst="rect">
            <a:avLst/>
          </a:prstGeom>
          <a:solidFill>
            <a:srgbClr val="000040"/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VENDAS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0B20A24-18C9-4DAC-BE3A-9FD8A320E9EA}"/>
              </a:ext>
            </a:extLst>
          </xdr:cNvPr>
          <xdr:cNvSpPr/>
        </xdr:nvSpPr>
        <xdr:spPr>
          <a:xfrm>
            <a:off x="4695825" y="1343025"/>
            <a:ext cx="1296000" cy="180000"/>
          </a:xfrm>
          <a:prstGeom prst="rect">
            <a:avLst/>
          </a:prstGeom>
          <a:solidFill>
            <a:srgbClr val="000040"/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CONTROLE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9524</xdr:rowOff>
    </xdr:from>
    <xdr:to>
      <xdr:col>6</xdr:col>
      <xdr:colOff>819750</xdr:colOff>
      <xdr:row>7</xdr:row>
      <xdr:rowOff>189525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B26C0D0-5BCC-B883-F5D6-A44964D6E9A8}"/>
            </a:ext>
          </a:extLst>
        </xdr:cNvPr>
        <xdr:cNvGrpSpPr/>
      </xdr:nvGrpSpPr>
      <xdr:grpSpPr>
        <a:xfrm>
          <a:off x="209550" y="1343024"/>
          <a:ext cx="5791800" cy="180001"/>
          <a:chOff x="209550" y="1343024"/>
          <a:chExt cx="5791800" cy="180001"/>
        </a:xfrm>
      </xdr:grpSpPr>
      <xdr:sp macro="" textlink="">
        <xdr:nvSpPr>
          <xdr:cNvPr id="7" name="Retângulo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82F1FC-7330-499C-8927-EC01868754A6}"/>
              </a:ext>
            </a:extLst>
          </xdr:cNvPr>
          <xdr:cNvSpPr/>
        </xdr:nvSpPr>
        <xdr:spPr>
          <a:xfrm>
            <a:off x="4705350" y="1343024"/>
            <a:ext cx="1296000" cy="180000"/>
          </a:xfrm>
          <a:prstGeom prst="rect">
            <a:avLst/>
          </a:prstGeom>
          <a:solidFill>
            <a:srgbClr val="000040"/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ANÁLISES</a:t>
            </a:r>
          </a:p>
        </xdr:txBody>
      </xdr:sp>
      <xdr:sp macro="[0]!mostraEstoque" textlink="">
        <xdr:nvSpPr>
          <xdr:cNvPr id="8" name="Retângulo 7">
            <a:extLst>
              <a:ext uri="{FF2B5EF4-FFF2-40B4-BE49-F238E27FC236}">
                <a16:creationId xmlns:a16="http://schemas.microsoft.com/office/drawing/2014/main" id="{AAB29013-3F6F-48BA-A0A2-25B6848B1109}"/>
              </a:ext>
            </a:extLst>
          </xdr:cNvPr>
          <xdr:cNvSpPr/>
        </xdr:nvSpPr>
        <xdr:spPr>
          <a:xfrm>
            <a:off x="209550" y="1343024"/>
            <a:ext cx="1296000" cy="18000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28575">
            <a:solidFill>
              <a:srgbClr val="00004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000040"/>
                </a:solidFill>
              </a:rPr>
              <a:t>EST.</a:t>
            </a:r>
            <a:r>
              <a:rPr lang="pt-BR" sz="1100" b="1" baseline="0">
                <a:solidFill>
                  <a:srgbClr val="000040"/>
                </a:solidFill>
              </a:rPr>
              <a:t> / CUSTOS</a:t>
            </a:r>
            <a:endParaRPr lang="pt-BR" sz="1100" b="1">
              <a:solidFill>
                <a:srgbClr val="000040"/>
              </a:solidFill>
            </a:endParaRPr>
          </a:p>
        </xdr:txBody>
      </xdr:sp>
      <xdr:sp macro="[0]!mostraControle" textlink="">
        <xdr:nvSpPr>
          <xdr:cNvPr id="9" name="Retângulo 8">
            <a:extLst>
              <a:ext uri="{FF2B5EF4-FFF2-40B4-BE49-F238E27FC236}">
                <a16:creationId xmlns:a16="http://schemas.microsoft.com/office/drawing/2014/main" id="{716170A9-48F8-4C6F-B298-AD8621163BB5}"/>
              </a:ext>
            </a:extLst>
          </xdr:cNvPr>
          <xdr:cNvSpPr/>
        </xdr:nvSpPr>
        <xdr:spPr>
          <a:xfrm>
            <a:off x="1638300" y="1343024"/>
            <a:ext cx="1296000" cy="18000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28575">
            <a:solidFill>
              <a:srgbClr val="00004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000040"/>
                </a:solidFill>
              </a:rPr>
              <a:t>CONTROLE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4A3A5E4-0536-DB4E-D3B3-3DF89CA104B7}"/>
              </a:ext>
            </a:extLst>
          </xdr:cNvPr>
          <xdr:cNvSpPr/>
        </xdr:nvSpPr>
        <xdr:spPr>
          <a:xfrm>
            <a:off x="3276602" y="1343025"/>
            <a:ext cx="1296000" cy="180000"/>
          </a:xfrm>
          <a:prstGeom prst="rect">
            <a:avLst/>
          </a:prstGeom>
          <a:solidFill>
            <a:srgbClr val="000040"/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VENDAS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39"/>
  <sheetViews>
    <sheetView showGridLines="0" tabSelected="1" zoomScaleNormal="100" workbookViewId="0"/>
  </sheetViews>
  <sheetFormatPr defaultRowHeight="15" x14ac:dyDescent="0.25"/>
  <cols>
    <col min="1" max="1" width="3" customWidth="1"/>
    <col min="2" max="2" width="28.7109375" customWidth="1"/>
    <col min="3" max="3" width="15" customWidth="1"/>
    <col min="4" max="4" width="16.5703125" customWidth="1"/>
    <col min="5" max="5" width="15.28515625" style="1" customWidth="1"/>
    <col min="6" max="6" width="11.28515625" customWidth="1"/>
    <col min="7" max="7" width="3" customWidth="1"/>
  </cols>
  <sheetData>
    <row r="1" spans="1:7" ht="15" customHeight="1" x14ac:dyDescent="0.25"/>
    <row r="2" spans="1:7" ht="15" customHeight="1" x14ac:dyDescent="0.25">
      <c r="A2" s="12"/>
      <c r="B2" s="12"/>
      <c r="C2" s="12"/>
      <c r="D2" s="12"/>
      <c r="E2" s="12"/>
      <c r="F2" s="12"/>
      <c r="G2" s="12"/>
    </row>
    <row r="3" spans="1:7" ht="15" customHeight="1" x14ac:dyDescent="0.25">
      <c r="A3" s="19"/>
      <c r="B3" s="19"/>
      <c r="C3" s="19"/>
      <c r="D3" s="19"/>
      <c r="E3" s="19"/>
      <c r="F3" s="19"/>
      <c r="G3" s="19"/>
    </row>
    <row r="4" spans="1:7" ht="15" customHeight="1" x14ac:dyDescent="0.25">
      <c r="A4" s="14"/>
      <c r="B4" s="14"/>
      <c r="C4" s="14"/>
      <c r="D4" s="14"/>
      <c r="E4" s="14" t="s">
        <v>13</v>
      </c>
      <c r="F4" s="10"/>
      <c r="G4" s="10"/>
    </row>
    <row r="5" spans="1:7" ht="15" customHeight="1" thickBot="1" x14ac:dyDescent="0.3">
      <c r="A5" s="13"/>
      <c r="B5" s="13"/>
      <c r="C5" s="13"/>
      <c r="D5" s="13"/>
      <c r="E5" s="13" t="s">
        <v>14</v>
      </c>
      <c r="F5" s="24"/>
      <c r="G5" s="24"/>
    </row>
    <row r="6" spans="1:7" ht="15" customHeight="1" thickTop="1" x14ac:dyDescent="0.25">
      <c r="A6" s="18"/>
      <c r="B6" s="21" t="s">
        <v>26</v>
      </c>
      <c r="C6" s="22"/>
      <c r="D6" s="22"/>
      <c r="E6" s="22"/>
      <c r="F6" s="20"/>
      <c r="G6" s="20"/>
    </row>
    <row r="7" spans="1:7" ht="15" customHeight="1" x14ac:dyDescent="0.25">
      <c r="E7"/>
    </row>
    <row r="8" spans="1:7" ht="15" customHeight="1" x14ac:dyDescent="0.25">
      <c r="E8"/>
    </row>
    <row r="9" spans="1:7" ht="15" customHeight="1" x14ac:dyDescent="0.25">
      <c r="E9"/>
    </row>
    <row r="10" spans="1:7" ht="15" customHeight="1" x14ac:dyDescent="0.25">
      <c r="A10" s="19"/>
      <c r="B10" s="19"/>
      <c r="C10" s="19"/>
      <c r="D10" s="19"/>
      <c r="E10" s="19"/>
      <c r="F10" s="19"/>
      <c r="G10" s="19"/>
    </row>
    <row r="11" spans="1:7" ht="15" customHeight="1" thickBot="1" x14ac:dyDescent="0.3">
      <c r="A11" s="76" t="s">
        <v>27</v>
      </c>
      <c r="B11" s="76"/>
      <c r="C11" s="76"/>
      <c r="D11" s="76"/>
      <c r="E11" s="77"/>
      <c r="F11" s="77"/>
      <c r="G11" s="77"/>
    </row>
    <row r="12" spans="1:7" ht="15" customHeight="1" thickTop="1" x14ac:dyDescent="0.25">
      <c r="A12" s="18"/>
      <c r="B12" s="18"/>
      <c r="C12" s="18"/>
      <c r="D12" s="18"/>
      <c r="E12" s="18"/>
      <c r="F12" s="18"/>
      <c r="G12" s="18"/>
    </row>
    <row r="13" spans="1:7" ht="15" customHeight="1" x14ac:dyDescent="0.25">
      <c r="E13"/>
    </row>
    <row r="14" spans="1:7" ht="15" customHeight="1" x14ac:dyDescent="0.25">
      <c r="B14" s="78" t="s">
        <v>0</v>
      </c>
      <c r="C14" s="16" t="s">
        <v>1</v>
      </c>
      <c r="D14" s="16" t="s">
        <v>3</v>
      </c>
      <c r="E14" s="16" t="s">
        <v>2</v>
      </c>
    </row>
    <row r="15" spans="1:7" ht="15" customHeight="1" x14ac:dyDescent="0.25">
      <c r="B15" t="s">
        <v>4</v>
      </c>
      <c r="C15" t="s">
        <v>5</v>
      </c>
      <c r="D15" t="s">
        <v>6</v>
      </c>
      <c r="E15" s="1">
        <v>5200</v>
      </c>
    </row>
    <row r="16" spans="1:7" ht="15" customHeight="1" x14ac:dyDescent="0.25">
      <c r="B16" t="s">
        <v>7</v>
      </c>
      <c r="C16" t="s">
        <v>8</v>
      </c>
      <c r="D16" t="s">
        <v>6</v>
      </c>
      <c r="E16" s="1">
        <v>500</v>
      </c>
    </row>
    <row r="17" spans="2:5" ht="15" customHeight="1" x14ac:dyDescent="0.25">
      <c r="B17" t="s">
        <v>7</v>
      </c>
      <c r="C17" t="s">
        <v>5</v>
      </c>
      <c r="D17" t="s">
        <v>6</v>
      </c>
      <c r="E17" s="1">
        <v>1500</v>
      </c>
    </row>
    <row r="18" spans="2:5" ht="15" customHeight="1" x14ac:dyDescent="0.25">
      <c r="B18" t="s">
        <v>4</v>
      </c>
      <c r="C18" t="s">
        <v>5</v>
      </c>
      <c r="D18" t="s">
        <v>10</v>
      </c>
      <c r="E18" s="1">
        <v>3000</v>
      </c>
    </row>
    <row r="19" spans="2:5" ht="15" customHeight="1" x14ac:dyDescent="0.25">
      <c r="B19" t="s">
        <v>4</v>
      </c>
      <c r="C19" t="s">
        <v>8</v>
      </c>
      <c r="D19" t="s">
        <v>11</v>
      </c>
      <c r="E19" s="1">
        <v>700</v>
      </c>
    </row>
    <row r="20" spans="2:5" ht="15" customHeight="1" x14ac:dyDescent="0.25">
      <c r="B20" t="s">
        <v>4</v>
      </c>
      <c r="C20" t="s">
        <v>8</v>
      </c>
      <c r="D20" t="s">
        <v>6</v>
      </c>
      <c r="E20" s="1">
        <v>2300</v>
      </c>
    </row>
    <row r="21" spans="2:5" ht="15" customHeight="1" x14ac:dyDescent="0.25">
      <c r="B21" t="s">
        <v>7</v>
      </c>
      <c r="C21" t="s">
        <v>8</v>
      </c>
      <c r="D21" t="s">
        <v>11</v>
      </c>
      <c r="E21" s="1">
        <v>525</v>
      </c>
    </row>
    <row r="22" spans="2:5" ht="15" customHeight="1" x14ac:dyDescent="0.25">
      <c r="B22" t="s">
        <v>4</v>
      </c>
      <c r="C22" t="s">
        <v>5</v>
      </c>
      <c r="D22" t="s">
        <v>10</v>
      </c>
      <c r="E22" s="1">
        <v>3000</v>
      </c>
    </row>
    <row r="23" spans="2:5" ht="15" customHeight="1" x14ac:dyDescent="0.25">
      <c r="B23" t="s">
        <v>4</v>
      </c>
      <c r="C23" t="s">
        <v>5</v>
      </c>
      <c r="D23" t="s">
        <v>11</v>
      </c>
      <c r="E23" s="1">
        <v>5000</v>
      </c>
    </row>
    <row r="24" spans="2:5" ht="15" customHeight="1" x14ac:dyDescent="0.25">
      <c r="B24" t="s">
        <v>7</v>
      </c>
      <c r="C24" t="s">
        <v>20</v>
      </c>
      <c r="D24" t="s">
        <v>18</v>
      </c>
      <c r="E24" s="1">
        <v>300</v>
      </c>
    </row>
    <row r="25" spans="2:5" ht="15" customHeight="1" x14ac:dyDescent="0.25">
      <c r="B25" t="s">
        <v>4</v>
      </c>
      <c r="C25" t="s">
        <v>20</v>
      </c>
      <c r="D25" t="s">
        <v>11</v>
      </c>
      <c r="E25" s="1">
        <v>500</v>
      </c>
    </row>
    <row r="26" spans="2:5" ht="15" customHeight="1" x14ac:dyDescent="0.25">
      <c r="B26" t="s">
        <v>7</v>
      </c>
      <c r="C26" t="s">
        <v>5</v>
      </c>
      <c r="D26" t="s">
        <v>11</v>
      </c>
      <c r="E26" s="1">
        <v>5000</v>
      </c>
    </row>
    <row r="27" spans="2:5" ht="15" customHeight="1" x14ac:dyDescent="0.25">
      <c r="B27" t="s">
        <v>7</v>
      </c>
      <c r="C27" t="s">
        <v>8</v>
      </c>
      <c r="D27" t="s">
        <v>11</v>
      </c>
      <c r="E27" s="1">
        <v>700</v>
      </c>
    </row>
    <row r="28" spans="2:5" ht="15" customHeight="1" x14ac:dyDescent="0.25">
      <c r="B28" t="s">
        <v>7</v>
      </c>
      <c r="C28" t="s">
        <v>8</v>
      </c>
      <c r="D28" t="s">
        <v>11</v>
      </c>
      <c r="E28" s="1">
        <v>200</v>
      </c>
    </row>
    <row r="29" spans="2:5" ht="15" customHeight="1" x14ac:dyDescent="0.25">
      <c r="B29" t="s">
        <v>4</v>
      </c>
      <c r="C29" t="s">
        <v>5</v>
      </c>
      <c r="D29" t="s">
        <v>6</v>
      </c>
      <c r="E29" s="1">
        <v>3500</v>
      </c>
    </row>
    <row r="30" spans="2:5" ht="15" customHeight="1" x14ac:dyDescent="0.25">
      <c r="B30" t="s">
        <v>7</v>
      </c>
      <c r="C30" t="s">
        <v>5</v>
      </c>
      <c r="D30" t="s">
        <v>6</v>
      </c>
      <c r="E30" s="1">
        <v>3700</v>
      </c>
    </row>
    <row r="31" spans="2:5" ht="15" customHeight="1" x14ac:dyDescent="0.25">
      <c r="B31" t="s">
        <v>4</v>
      </c>
      <c r="C31" t="s">
        <v>5</v>
      </c>
      <c r="D31" t="s">
        <v>6</v>
      </c>
      <c r="E31" s="1">
        <v>3650</v>
      </c>
    </row>
    <row r="32" spans="2:5" ht="15" customHeight="1" x14ac:dyDescent="0.25">
      <c r="B32" t="s">
        <v>4</v>
      </c>
      <c r="C32" t="s">
        <v>9</v>
      </c>
      <c r="D32" t="s">
        <v>6</v>
      </c>
      <c r="E32" s="1">
        <v>700</v>
      </c>
    </row>
    <row r="33" spans="2:5" ht="15" customHeight="1" x14ac:dyDescent="0.25">
      <c r="B33" t="s">
        <v>7</v>
      </c>
      <c r="C33" t="s">
        <v>20</v>
      </c>
      <c r="D33" t="s">
        <v>11</v>
      </c>
      <c r="E33" s="1">
        <v>30</v>
      </c>
    </row>
    <row r="34" spans="2:5" ht="15" customHeight="1" x14ac:dyDescent="0.25">
      <c r="B34" t="s">
        <v>7</v>
      </c>
      <c r="C34" t="s">
        <v>20</v>
      </c>
      <c r="D34" t="s">
        <v>11</v>
      </c>
      <c r="E34" s="1">
        <v>70</v>
      </c>
    </row>
    <row r="35" spans="2:5" ht="15" customHeight="1" x14ac:dyDescent="0.25"/>
    <row r="36" spans="2:5" ht="15" customHeight="1" x14ac:dyDescent="0.25"/>
    <row r="37" spans="2:5" ht="15" customHeight="1" x14ac:dyDescent="0.25"/>
    <row r="38" spans="2:5" ht="15" customHeight="1" x14ac:dyDescent="0.25"/>
    <row r="39" spans="2:5" ht="15" customHeight="1" x14ac:dyDescent="0.25"/>
  </sheetData>
  <mergeCells count="1">
    <mergeCell ref="A11:D11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04F5-37C2-4A37-8555-7C72B660183B}">
  <sheetPr codeName="Planilha1"/>
  <dimension ref="A1:K31"/>
  <sheetViews>
    <sheetView showGridLines="0" topLeftCell="A10" zoomScaleNormal="100" workbookViewId="0">
      <selection activeCell="A30" sqref="A30:J30"/>
    </sheetView>
  </sheetViews>
  <sheetFormatPr defaultRowHeight="15" x14ac:dyDescent="0.25"/>
  <cols>
    <col min="1" max="1" width="3" customWidth="1"/>
    <col min="2" max="2" width="17.140625" style="2" customWidth="1"/>
    <col min="3" max="3" width="17.140625" style="8" customWidth="1"/>
    <col min="4" max="4" width="17.140625" style="4" customWidth="1"/>
    <col min="5" max="5" width="23.42578125" style="7" customWidth="1"/>
    <col min="6" max="6" width="3" customWidth="1"/>
    <col min="7" max="7" width="28.140625" customWidth="1"/>
    <col min="8" max="8" width="17.140625" customWidth="1"/>
    <col min="9" max="9" width="23.7109375" customWidth="1"/>
    <col min="10" max="10" width="23.42578125" customWidth="1"/>
    <col min="11" max="11" width="3" customWidth="1"/>
  </cols>
  <sheetData>
    <row r="1" spans="1:11" ht="15" customHeight="1" x14ac:dyDescent="0.25">
      <c r="B1"/>
      <c r="C1"/>
      <c r="D1"/>
      <c r="E1" s="1"/>
    </row>
    <row r="2" spans="1:11" ht="1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11"/>
    </row>
    <row r="3" spans="1:11" ht="15" customHeight="1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 ht="15" customHeight="1" x14ac:dyDescent="0.25">
      <c r="A4" s="27" t="s">
        <v>13</v>
      </c>
      <c r="B4" s="27"/>
      <c r="C4" s="27"/>
      <c r="D4" s="27"/>
      <c r="E4" s="27"/>
      <c r="F4" s="27"/>
      <c r="G4" s="27"/>
      <c r="H4" s="27"/>
      <c r="I4" s="27"/>
      <c r="J4" s="27"/>
      <c r="K4" s="60"/>
    </row>
    <row r="5" spans="1:11" ht="15" customHeight="1" thickBot="1" x14ac:dyDescent="0.3">
      <c r="A5" s="25" t="s">
        <v>14</v>
      </c>
      <c r="B5" s="25"/>
      <c r="C5" s="25"/>
      <c r="D5" s="25"/>
      <c r="E5" s="25"/>
      <c r="F5" s="25"/>
      <c r="G5" s="25"/>
      <c r="H5" s="25"/>
      <c r="I5" s="25"/>
      <c r="J5" s="25"/>
      <c r="K5" s="61"/>
    </row>
    <row r="6" spans="1:11" ht="15" customHeight="1" thickTop="1" x14ac:dyDescent="0.25">
      <c r="A6" s="18"/>
      <c r="B6" s="21" t="s">
        <v>26</v>
      </c>
      <c r="C6" s="18"/>
      <c r="D6" s="18"/>
      <c r="E6" s="18"/>
      <c r="F6" s="18"/>
      <c r="G6" s="18"/>
      <c r="H6" s="20"/>
      <c r="I6" s="23"/>
      <c r="J6" s="18"/>
      <c r="K6" s="18"/>
    </row>
    <row r="7" spans="1:11" ht="15" customHeight="1" x14ac:dyDescent="0.25">
      <c r="B7"/>
      <c r="C7"/>
      <c r="D7"/>
      <c r="E7"/>
    </row>
    <row r="8" spans="1:11" ht="15" customHeight="1" x14ac:dyDescent="0.25">
      <c r="B8"/>
      <c r="C8"/>
      <c r="D8"/>
      <c r="E8"/>
    </row>
    <row r="9" spans="1:11" ht="15" customHeight="1" x14ac:dyDescent="0.25">
      <c r="B9"/>
      <c r="C9"/>
      <c r="D9"/>
      <c r="E9"/>
    </row>
    <row r="10" spans="1:11" ht="15" customHeight="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</row>
    <row r="11" spans="1:11" ht="15" customHeight="1" thickBot="1" x14ac:dyDescent="0.3">
      <c r="A11" s="76" t="s">
        <v>24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1" ht="15" customHeight="1" thickTop="1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1" ht="15" customHeight="1" x14ac:dyDescent="0.25">
      <c r="B13"/>
      <c r="C13"/>
      <c r="D13"/>
      <c r="E13" s="1"/>
    </row>
    <row r="14" spans="1:11" ht="15" customHeight="1" x14ac:dyDescent="0.25">
      <c r="B14" s="53" t="s">
        <v>17</v>
      </c>
      <c r="C14" s="53"/>
      <c r="D14" s="53"/>
      <c r="E14" s="53"/>
      <c r="G14" s="53" t="s">
        <v>21</v>
      </c>
      <c r="H14" s="53"/>
      <c r="I14" s="53"/>
      <c r="J14" s="53"/>
    </row>
    <row r="15" spans="1:11" x14ac:dyDescent="0.25">
      <c r="B15" s="54" t="s">
        <v>37</v>
      </c>
      <c r="C15" s="54" t="s">
        <v>36</v>
      </c>
      <c r="D15" s="55" t="s">
        <v>23</v>
      </c>
      <c r="E15" s="56" t="s">
        <v>16</v>
      </c>
      <c r="G15" s="54" t="s">
        <v>38</v>
      </c>
      <c r="H15" s="54" t="s">
        <v>36</v>
      </c>
      <c r="I15" s="55" t="s">
        <v>23</v>
      </c>
      <c r="J15" s="56" t="s">
        <v>16</v>
      </c>
    </row>
    <row r="16" spans="1:11" x14ac:dyDescent="0.25">
      <c r="B16" s="36" t="s">
        <v>10</v>
      </c>
      <c r="C16" s="46">
        <f>SUMIF(Vendas!D:D,Análises!B16,Vendas!E:E)</f>
        <v>6000</v>
      </c>
      <c r="D16" s="37">
        <f>COUNTIF(Vendas!D:D,Análises!B16)</f>
        <v>2</v>
      </c>
      <c r="E16" s="38">
        <f>IFERROR(AVERAGEIF(Vendas!D:D,Análises!B16,Vendas!E:E),"Nenhuma Venda")</f>
        <v>3000</v>
      </c>
      <c r="G16" s="47" t="s">
        <v>7</v>
      </c>
      <c r="H16" s="48">
        <f>SUMIF(Vendas!B:B,Análises!G16,Vendas!E:E)</f>
        <v>12525</v>
      </c>
      <c r="I16" s="49">
        <f>COUNTIF(Vendas!B:B,Análises!G16)</f>
        <v>10</v>
      </c>
      <c r="J16" s="50">
        <f>IFERROR(AVERAGEIF(Vendas!B:B,Análises!G16,Vendas!E:E),"Nenhuma venda")</f>
        <v>1252.5</v>
      </c>
    </row>
    <row r="17" spans="1:10" x14ac:dyDescent="0.25">
      <c r="B17" s="36" t="s">
        <v>12</v>
      </c>
      <c r="C17" s="46">
        <f>SUMIF(Vendas!D:D,Análises!B17,Vendas!E:E)</f>
        <v>0</v>
      </c>
      <c r="D17" s="37">
        <f>COUNTIF(Vendas!D:D,Análises!B17)</f>
        <v>0</v>
      </c>
      <c r="E17" s="38" t="str">
        <f>IFERROR(AVERAGEIF(Vendas!D:D,Análises!B17,Vendas!E:E),"Nenhuma Venda")</f>
        <v>Nenhuma Venda</v>
      </c>
      <c r="G17" s="3" t="s">
        <v>4</v>
      </c>
      <c r="H17" s="9">
        <f>SUMIF(Vendas!B:B,Análises!G17,Vendas!E:E)</f>
        <v>27550</v>
      </c>
      <c r="I17" s="5">
        <f>COUNTIF(Vendas!B:B,Análises!G17)</f>
        <v>10</v>
      </c>
      <c r="J17" s="6">
        <f>IFERROR(AVERAGEIF(Vendas!B:B,Análises!G17,Vendas!E:E),"Nenhuma venda")</f>
        <v>2755</v>
      </c>
    </row>
    <row r="18" spans="1:10" x14ac:dyDescent="0.25">
      <c r="B18" s="36" t="s">
        <v>6</v>
      </c>
      <c r="C18" s="46">
        <f>SUMIF(Vendas!D:D,Análises!B18,Vendas!E:E)</f>
        <v>21050</v>
      </c>
      <c r="D18" s="37">
        <f>COUNTIF(Vendas!D:D,Análises!B18)</f>
        <v>8</v>
      </c>
      <c r="E18" s="38">
        <f>IFERROR(AVERAGEIF(Vendas!D:D,Análises!B18,Vendas!E:E),"Nenhuma Venda")</f>
        <v>2631.25</v>
      </c>
      <c r="G18" s="3" t="s">
        <v>22</v>
      </c>
      <c r="H18" s="9">
        <f>SUMIF(Vendas!B:B,Análises!G18,Vendas!E:E)</f>
        <v>0</v>
      </c>
      <c r="I18" s="5">
        <f>COUNTIF(Vendas!B:B,Análises!G18)</f>
        <v>0</v>
      </c>
      <c r="J18" s="6" t="str">
        <f>IFERROR(AVERAGEIF(Vendas!B:B,Análises!G18,Vendas!E:E),"Nenhuma venda")</f>
        <v>Nenhuma venda</v>
      </c>
    </row>
    <row r="19" spans="1:10" x14ac:dyDescent="0.25">
      <c r="B19" s="36" t="s">
        <v>11</v>
      </c>
      <c r="C19" s="46">
        <f>SUMIF(Vendas!D:D,Análises!B19,Vendas!E:E)</f>
        <v>12725</v>
      </c>
      <c r="D19" s="37">
        <f>COUNTIF(Vendas!D:D,Análises!B19)</f>
        <v>9</v>
      </c>
      <c r="E19" s="38">
        <f>IFERROR(AVERAGEIF(Vendas!D:D,Análises!B19,Vendas!E:E),"Nenhuma Venda")</f>
        <v>1413.8888888888889</v>
      </c>
    </row>
    <row r="20" spans="1:10" x14ac:dyDescent="0.25">
      <c r="B20" s="36" t="s">
        <v>18</v>
      </c>
      <c r="C20" s="46">
        <f>SUMIF(Vendas!D:D,Análises!B20,Vendas!E:E)</f>
        <v>300</v>
      </c>
      <c r="D20" s="37">
        <f>COUNTIF(Vendas!D:D,Análises!B20)</f>
        <v>1</v>
      </c>
      <c r="E20" s="38">
        <f>IFERROR(AVERAGEIF(Vendas!D:D,Análises!B20,Vendas!E:E),"Nenhuma Venda")</f>
        <v>300</v>
      </c>
    </row>
    <row r="22" spans="1:10" ht="15.75" x14ac:dyDescent="0.25">
      <c r="B22" s="53" t="s">
        <v>19</v>
      </c>
      <c r="C22" s="53"/>
      <c r="D22" s="53"/>
      <c r="E22" s="53"/>
      <c r="G22" s="59" t="s">
        <v>15</v>
      </c>
      <c r="H22" s="59"/>
      <c r="I22" s="59"/>
      <c r="J22" s="58"/>
    </row>
    <row r="23" spans="1:10" x14ac:dyDescent="0.25">
      <c r="B23" s="54" t="s">
        <v>29</v>
      </c>
      <c r="C23" s="54" t="s">
        <v>36</v>
      </c>
      <c r="D23" s="55" t="s">
        <v>23</v>
      </c>
      <c r="E23" s="56" t="s">
        <v>16</v>
      </c>
      <c r="G23" s="55" t="s">
        <v>15</v>
      </c>
      <c r="H23" s="55" t="s">
        <v>23</v>
      </c>
      <c r="I23" s="57" t="s">
        <v>16</v>
      </c>
    </row>
    <row r="24" spans="1:10" x14ac:dyDescent="0.25">
      <c r="B24" s="47" t="s">
        <v>5</v>
      </c>
      <c r="C24" s="48">
        <f>SUMIF(Vendas!C:C,Análises!B24,Vendas!E:E)</f>
        <v>33550</v>
      </c>
      <c r="D24" s="49">
        <f>COUNTIF(Vendas!C:C,Análises!B24)</f>
        <v>9</v>
      </c>
      <c r="E24" s="50">
        <f>AVERAGEIF(Vendas!C:C,Análises!B24,Vendas!E:E)</f>
        <v>3727.7777777777778</v>
      </c>
      <c r="G24" s="51">
        <f>SUM(Vendas!E:E)</f>
        <v>40075</v>
      </c>
      <c r="H24" s="52">
        <f>COUNT(Vendas!E:E)</f>
        <v>20</v>
      </c>
      <c r="I24" s="51">
        <f>AVERAGE(Vendas!E:E)</f>
        <v>2003.75</v>
      </c>
    </row>
    <row r="25" spans="1:10" x14ac:dyDescent="0.25">
      <c r="B25" s="3" t="s">
        <v>8</v>
      </c>
      <c r="C25" s="9">
        <f>SUMIF(Vendas!C:C,Análises!B25,Vendas!E:E)</f>
        <v>4925</v>
      </c>
      <c r="D25" s="5">
        <f>COUNTIF(Vendas!C:C,Análises!B25)</f>
        <v>6</v>
      </c>
      <c r="E25" s="6">
        <f>AVERAGEIF(Vendas!C:C,Análises!B25,Vendas!E:E)</f>
        <v>820.83333333333337</v>
      </c>
    </row>
    <row r="26" spans="1:10" x14ac:dyDescent="0.25">
      <c r="B26" s="3" t="s">
        <v>9</v>
      </c>
      <c r="C26" s="9">
        <f>SUMIF(Vendas!C:C,Análises!B26,Vendas!E:E)</f>
        <v>700</v>
      </c>
      <c r="D26" s="5">
        <f>COUNTIF(Vendas!C:C,Análises!B26)</f>
        <v>1</v>
      </c>
      <c r="E26" s="6">
        <f>IFERROR(AVERAGEIF(Vendas!C:C,Análises!B26,Vendas!E:E),"Nenhuma Venda")</f>
        <v>700</v>
      </c>
    </row>
    <row r="27" spans="1:10" x14ac:dyDescent="0.25">
      <c r="B27" s="3" t="s">
        <v>20</v>
      </c>
      <c r="C27" s="9">
        <f>SUMIF(Vendas!C:C,Análises!B27,Vendas!E:E)</f>
        <v>900</v>
      </c>
      <c r="D27" s="5">
        <f>COUNTIF(Vendas!C:C,Análises!B27)</f>
        <v>4</v>
      </c>
      <c r="E27" s="6">
        <f>AVERAGEIF(Vendas!C:C,Análises!B27,Vendas!E:E)</f>
        <v>225</v>
      </c>
    </row>
    <row r="29" spans="1:10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</row>
    <row r="30" spans="1:10" ht="19.5" thickBot="1" x14ac:dyDescent="0.3">
      <c r="A30" s="76" t="s">
        <v>25</v>
      </c>
      <c r="B30" s="76"/>
      <c r="C30" s="76"/>
      <c r="D30" s="76"/>
      <c r="E30" s="76"/>
      <c r="F30" s="76"/>
      <c r="G30" s="76"/>
      <c r="H30" s="76"/>
      <c r="I30" s="76"/>
      <c r="J30" s="76"/>
    </row>
    <row r="31" spans="1:10" ht="15.75" thickTop="1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</row>
  </sheetData>
  <sortState xmlns:xlrd2="http://schemas.microsoft.com/office/spreadsheetml/2017/richdata2" ref="G16:G18">
    <sortCondition ref="G16:G18"/>
  </sortState>
  <mergeCells count="9">
    <mergeCell ref="A2:J2"/>
    <mergeCell ref="G14:J14"/>
    <mergeCell ref="B14:E14"/>
    <mergeCell ref="A4:J4"/>
    <mergeCell ref="A5:J5"/>
    <mergeCell ref="A11:K11"/>
    <mergeCell ref="B22:E22"/>
    <mergeCell ref="G22:I22"/>
    <mergeCell ref="A30:J30"/>
  </mergeCells>
  <pageMargins left="0.511811024" right="0.511811024" top="0.78740157499999996" bottom="0.78740157499999996" header="0.31496062000000002" footer="0.31496062000000002"/>
  <pageSetup paperSize="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09503-7D16-422D-91A4-4780C8140261}">
  <sheetPr codeName="Planilha2"/>
  <dimension ref="A1:O139"/>
  <sheetViews>
    <sheetView showGridLines="0" workbookViewId="0">
      <selection activeCell="B19" sqref="B19"/>
    </sheetView>
  </sheetViews>
  <sheetFormatPr defaultRowHeight="15" x14ac:dyDescent="0.25"/>
  <cols>
    <col min="1" max="1" width="3" customWidth="1"/>
    <col min="2" max="2" width="23" style="2" bestFit="1" customWidth="1"/>
    <col min="3" max="3" width="15.42578125" style="7" customWidth="1"/>
    <col min="4" max="4" width="15.85546875" style="28" customWidth="1"/>
    <col min="5" max="5" width="17.42578125" style="28" customWidth="1"/>
    <col min="6" max="6" width="3" style="28" customWidth="1"/>
    <col min="7" max="7" width="18.42578125" style="28" customWidth="1"/>
    <col min="8" max="8" width="15.5703125" style="28" customWidth="1"/>
    <col min="9" max="9" width="15.7109375" style="4" customWidth="1"/>
    <col min="10" max="10" width="3" customWidth="1"/>
  </cols>
  <sheetData>
    <row r="1" spans="1:15" ht="15" customHeight="1" x14ac:dyDescent="0.25">
      <c r="E1" s="7"/>
    </row>
    <row r="2" spans="1:15" ht="1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11"/>
    </row>
    <row r="3" spans="1:15" ht="15" customHeight="1" x14ac:dyDescent="0.25">
      <c r="A3" s="19"/>
      <c r="B3" s="34"/>
      <c r="C3" s="30"/>
      <c r="D3" s="29"/>
      <c r="E3" s="29"/>
      <c r="F3" s="29"/>
      <c r="G3" s="29"/>
      <c r="H3" s="29"/>
      <c r="I3" s="42"/>
      <c r="J3" s="19"/>
    </row>
    <row r="4" spans="1:15" ht="15" customHeight="1" x14ac:dyDescent="0.25">
      <c r="A4" s="27" t="s">
        <v>13</v>
      </c>
      <c r="B4" s="27"/>
      <c r="C4" s="27"/>
      <c r="D4" s="27"/>
      <c r="E4" s="27"/>
      <c r="F4" s="27"/>
      <c r="G4" s="27"/>
      <c r="H4" s="27"/>
      <c r="I4" s="27"/>
      <c r="J4" s="14"/>
    </row>
    <row r="5" spans="1:15" ht="15" customHeight="1" thickBot="1" x14ac:dyDescent="0.3">
      <c r="A5" s="25" t="s">
        <v>14</v>
      </c>
      <c r="B5" s="25"/>
      <c r="C5" s="25"/>
      <c r="D5" s="25"/>
      <c r="E5" s="25"/>
      <c r="F5" s="25"/>
      <c r="G5" s="25"/>
      <c r="H5" s="25"/>
      <c r="I5" s="25"/>
      <c r="J5" s="13"/>
    </row>
    <row r="6" spans="1:15" ht="15" customHeight="1" thickTop="1" x14ac:dyDescent="0.25">
      <c r="A6" s="18"/>
      <c r="B6" s="21" t="s">
        <v>26</v>
      </c>
      <c r="C6" s="31"/>
      <c r="D6" s="32"/>
      <c r="E6" s="32"/>
      <c r="F6" s="32"/>
      <c r="G6" s="32"/>
      <c r="H6" s="33"/>
      <c r="I6" s="43"/>
      <c r="J6" s="18"/>
    </row>
    <row r="7" spans="1:15" ht="15" customHeight="1" x14ac:dyDescent="0.25"/>
    <row r="8" spans="1:15" ht="15" customHeight="1" x14ac:dyDescent="0.25"/>
    <row r="9" spans="1:15" ht="15" customHeight="1" x14ac:dyDescent="0.25"/>
    <row r="10" spans="1:15" ht="15" customHeight="1" x14ac:dyDescent="0.25">
      <c r="A10" s="19"/>
      <c r="B10" s="34"/>
      <c r="C10" s="30"/>
      <c r="D10" s="29"/>
      <c r="E10" s="29"/>
      <c r="F10" s="29"/>
      <c r="G10" s="29"/>
      <c r="H10" s="29"/>
      <c r="I10" s="42"/>
      <c r="J10" s="42"/>
    </row>
    <row r="11" spans="1:15" ht="15" customHeight="1" thickBot="1" x14ac:dyDescent="0.3">
      <c r="A11" s="76" t="s">
        <v>28</v>
      </c>
      <c r="B11" s="76"/>
      <c r="C11" s="76"/>
      <c r="D11" s="76"/>
      <c r="E11" s="76"/>
      <c r="F11" s="76"/>
      <c r="G11" s="76"/>
      <c r="H11" s="76"/>
      <c r="I11" s="76"/>
      <c r="J11" s="76"/>
    </row>
    <row r="12" spans="1:15" ht="15" customHeight="1" thickTop="1" x14ac:dyDescent="0.25">
      <c r="A12" s="18"/>
      <c r="B12" s="35"/>
      <c r="C12" s="31"/>
      <c r="D12" s="32"/>
      <c r="E12" s="32"/>
      <c r="F12" s="32"/>
      <c r="G12" s="32"/>
      <c r="H12" s="32"/>
      <c r="I12" s="44"/>
      <c r="J12" s="44"/>
    </row>
    <row r="13" spans="1:15" ht="15" customHeight="1" x14ac:dyDescent="0.25"/>
    <row r="14" spans="1:15" s="4" customFormat="1" ht="15" customHeight="1" x14ac:dyDescent="0.25">
      <c r="B14" s="15" t="s">
        <v>29</v>
      </c>
      <c r="C14" s="17" t="s">
        <v>30</v>
      </c>
      <c r="D14" s="16" t="s">
        <v>35</v>
      </c>
      <c r="E14" s="16" t="s">
        <v>31</v>
      </c>
      <c r="G14" s="16" t="s">
        <v>32</v>
      </c>
      <c r="H14" s="16" t="s">
        <v>33</v>
      </c>
      <c r="I14" s="16" t="s">
        <v>34</v>
      </c>
      <c r="O14" s="2"/>
    </row>
    <row r="15" spans="1:15" ht="15" customHeight="1" x14ac:dyDescent="0.25">
      <c r="B15" s="41" t="str">
        <f>Análises!B24</f>
        <v>CPU</v>
      </c>
      <c r="C15" s="38">
        <v>2300</v>
      </c>
      <c r="D15" s="39">
        <v>10</v>
      </c>
      <c r="E15" s="38">
        <f>C15*D15</f>
        <v>23000</v>
      </c>
      <c r="G15" s="39">
        <f>Análises!D24</f>
        <v>9</v>
      </c>
      <c r="H15" s="39">
        <f>D15-G15</f>
        <v>1</v>
      </c>
      <c r="I15" s="45" t="str">
        <f>IF(H15&lt;=3,"Repor estoque","Em estoque")</f>
        <v>Repor estoque</v>
      </c>
    </row>
    <row r="16" spans="1:15" ht="15" customHeight="1" x14ac:dyDescent="0.25">
      <c r="B16" s="41" t="str">
        <f>Análises!B25</f>
        <v>HeadSet</v>
      </c>
      <c r="C16" s="38">
        <v>600</v>
      </c>
      <c r="D16" s="39">
        <v>10</v>
      </c>
      <c r="E16" s="38">
        <f t="shared" ref="E16:E18" si="0">C16*D16</f>
        <v>6000</v>
      </c>
      <c r="G16" s="39">
        <f>Análises!D25</f>
        <v>6</v>
      </c>
      <c r="H16" s="39">
        <f t="shared" ref="H16:H18" si="1">D16-G16</f>
        <v>4</v>
      </c>
      <c r="I16" s="45" t="str">
        <f t="shared" ref="I16:I18" si="2">IF(H16&lt;=3,"Repor Estoque","Em estoque")</f>
        <v>Em estoque</v>
      </c>
    </row>
    <row r="17" spans="1:10" ht="15" customHeight="1" x14ac:dyDescent="0.25">
      <c r="B17" s="41" t="str">
        <f>Análises!B26</f>
        <v>Monitor</v>
      </c>
      <c r="C17" s="38">
        <v>1600</v>
      </c>
      <c r="D17" s="39">
        <v>5</v>
      </c>
      <c r="E17" s="38">
        <f t="shared" si="0"/>
        <v>8000</v>
      </c>
      <c r="G17" s="39">
        <f>Análises!D26</f>
        <v>1</v>
      </c>
      <c r="H17" s="39">
        <f t="shared" si="1"/>
        <v>4</v>
      </c>
      <c r="I17" s="45" t="str">
        <f t="shared" si="2"/>
        <v>Em estoque</v>
      </c>
    </row>
    <row r="18" spans="1:10" ht="15" customHeight="1" x14ac:dyDescent="0.25">
      <c r="B18" s="41" t="str">
        <f>Análises!B27</f>
        <v>Mouse</v>
      </c>
      <c r="C18" s="38">
        <v>200</v>
      </c>
      <c r="D18" s="39">
        <v>5</v>
      </c>
      <c r="E18" s="38">
        <f t="shared" si="0"/>
        <v>1000</v>
      </c>
      <c r="G18" s="39">
        <f>Análises!D27</f>
        <v>4</v>
      </c>
      <c r="H18" s="39">
        <f t="shared" si="1"/>
        <v>1</v>
      </c>
      <c r="I18" s="45" t="str">
        <f t="shared" si="2"/>
        <v>Repor Estoque</v>
      </c>
    </row>
    <row r="19" spans="1:10" ht="15" customHeight="1" x14ac:dyDescent="0.25"/>
    <row r="20" spans="1:10" ht="15" customHeight="1" x14ac:dyDescent="0.25">
      <c r="D20" s="15" t="s">
        <v>31</v>
      </c>
      <c r="E20" s="40">
        <f>SUM(E15:E18)</f>
        <v>38000</v>
      </c>
    </row>
    <row r="21" spans="1:10" ht="15" customHeight="1" x14ac:dyDescent="0.25">
      <c r="D21" s="66"/>
      <c r="E21" s="65"/>
    </row>
    <row r="22" spans="1:10" ht="15" customHeight="1" x14ac:dyDescent="0.25">
      <c r="A22" s="19"/>
      <c r="B22" s="34"/>
      <c r="C22" s="30"/>
      <c r="D22" s="29"/>
      <c r="E22" s="29"/>
      <c r="F22" s="29"/>
      <c r="G22" s="29"/>
      <c r="H22" s="29"/>
      <c r="I22" s="42"/>
      <c r="J22" s="42"/>
    </row>
    <row r="23" spans="1:10" ht="15" customHeight="1" thickBot="1" x14ac:dyDescent="0.3">
      <c r="A23" s="76" t="s">
        <v>39</v>
      </c>
      <c r="B23" s="76"/>
      <c r="C23" s="76"/>
      <c r="D23" s="76"/>
      <c r="E23" s="76"/>
      <c r="F23" s="76"/>
      <c r="G23" s="76"/>
      <c r="H23" s="76"/>
      <c r="I23" s="76"/>
      <c r="J23" s="76"/>
    </row>
    <row r="24" spans="1:10" ht="15" customHeight="1" thickTop="1" x14ac:dyDescent="0.25">
      <c r="A24" s="18"/>
      <c r="B24" s="35"/>
      <c r="C24" s="31"/>
      <c r="D24" s="32"/>
      <c r="E24" s="32"/>
      <c r="F24" s="32"/>
      <c r="G24" s="32"/>
      <c r="H24" s="32"/>
      <c r="I24" s="44"/>
      <c r="J24" s="44"/>
    </row>
    <row r="25" spans="1:10" ht="15" customHeight="1" x14ac:dyDescent="0.25"/>
    <row r="26" spans="1:10" ht="15" customHeight="1" x14ac:dyDescent="0.25">
      <c r="B26" s="63" t="s">
        <v>39</v>
      </c>
      <c r="C26" s="63"/>
      <c r="D26" s="63"/>
    </row>
    <row r="27" spans="1:10" ht="15" customHeight="1" x14ac:dyDescent="0.25">
      <c r="B27" s="64" t="s">
        <v>41</v>
      </c>
      <c r="C27" s="64" t="s">
        <v>40</v>
      </c>
      <c r="D27" s="64" t="s">
        <v>31</v>
      </c>
    </row>
    <row r="28" spans="1:10" ht="15" customHeight="1" x14ac:dyDescent="0.25">
      <c r="B28" s="69">
        <f>Análises!G24</f>
        <v>40075</v>
      </c>
      <c r="C28" s="38">
        <f>E20</f>
        <v>38000</v>
      </c>
      <c r="D28" s="38">
        <f>B28-C28</f>
        <v>2075</v>
      </c>
    </row>
    <row r="29" spans="1:10" ht="15" customHeight="1" thickBot="1" x14ac:dyDescent="0.3">
      <c r="B29" s="67"/>
      <c r="C29" s="62"/>
      <c r="D29" s="68"/>
    </row>
    <row r="30" spans="1:10" ht="15" customHeight="1" x14ac:dyDescent="0.25">
      <c r="B30" s="70" t="str">
        <f>IF(D28&gt;=100,"Registro de Lucro", "Registo de Prejuízo")</f>
        <v>Registro de Lucro</v>
      </c>
      <c r="C30" s="71"/>
      <c r="D30" s="72"/>
    </row>
    <row r="31" spans="1:10" ht="15" customHeight="1" thickBot="1" x14ac:dyDescent="0.3">
      <c r="B31" s="73"/>
      <c r="C31" s="74"/>
      <c r="D31" s="75"/>
    </row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</sheetData>
  <mergeCells count="7">
    <mergeCell ref="B26:D26"/>
    <mergeCell ref="B30:D31"/>
    <mergeCell ref="A11:J11"/>
    <mergeCell ref="A23:J23"/>
    <mergeCell ref="A2:I2"/>
    <mergeCell ref="A4:I4"/>
    <mergeCell ref="A5:I5"/>
  </mergeCells>
  <conditionalFormatting sqref="I1:I10 I24:I1048576 I12:I22">
    <cfRule type="containsText" dxfId="8" priority="8" operator="containsText" text="Repor estoque">
      <formula>NOT(ISERROR(SEARCH("Repor estoque",I1)))</formula>
    </cfRule>
    <cfRule type="containsText" dxfId="7" priority="9" operator="containsText" text="Em estoque">
      <formula>NOT(ISERROR(SEARCH("Em estoque",I1)))</formula>
    </cfRule>
  </conditionalFormatting>
  <conditionalFormatting sqref="J10 J12">
    <cfRule type="containsText" dxfId="6" priority="6" operator="containsText" text="Repor estoque">
      <formula>NOT(ISERROR(SEARCH("Repor estoque",J10)))</formula>
    </cfRule>
    <cfRule type="containsText" dxfId="5" priority="7" operator="containsText" text="Em estoque">
      <formula>NOT(ISERROR(SEARCH("Em estoque",J10)))</formula>
    </cfRule>
  </conditionalFormatting>
  <conditionalFormatting sqref="J22 J24">
    <cfRule type="containsText" dxfId="4" priority="4" operator="containsText" text="Repor estoque">
      <formula>NOT(ISERROR(SEARCH("Repor estoque",J22)))</formula>
    </cfRule>
    <cfRule type="containsText" dxfId="3" priority="5" operator="containsText" text="Em estoque">
      <formula>NOT(ISERROR(SEARCH("Em estoque",J22)))</formula>
    </cfRule>
  </conditionalFormatting>
  <conditionalFormatting sqref="B30:D31">
    <cfRule type="containsText" dxfId="2" priority="1" operator="containsText" text="Prejuízo">
      <formula>NOT(ISERROR(SEARCH("Prejuízo",B30)))</formula>
    </cfRule>
    <cfRule type="containsText" dxfId="1" priority="2" operator="containsText" text="Prejuizo">
      <formula>NOT(ISERROR(SEARCH("Prejuizo",B30)))</formula>
    </cfRule>
    <cfRule type="containsText" dxfId="0" priority="3" operator="containsText" text="Lucro">
      <formula>NOT(ISERROR(SEARCH("Lucro",B30)))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Vendas</vt:lpstr>
      <vt:lpstr>Análises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Julio Carvalho</cp:lastModifiedBy>
  <cp:lastPrinted>2023-07-02T14:46:53Z</cp:lastPrinted>
  <dcterms:created xsi:type="dcterms:W3CDTF">2022-10-06T16:26:33Z</dcterms:created>
  <dcterms:modified xsi:type="dcterms:W3CDTF">2023-07-02T16:24:08Z</dcterms:modified>
</cp:coreProperties>
</file>