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julio\Documents\Curso\Office\Excel\"/>
    </mc:Choice>
  </mc:AlternateContent>
  <xr:revisionPtr revIDLastSave="0" documentId="13_ncr:1_{57D62D06-7EAD-4C08-8598-8EB2AF49F950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Vendas" sheetId="1" r:id="rId1"/>
    <sheet name="Análises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2" l="1"/>
  <c r="D15" i="2"/>
  <c r="E15" i="2"/>
  <c r="G15" i="2"/>
  <c r="H15" i="2"/>
  <c r="I15" i="2"/>
  <c r="D18" i="2"/>
  <c r="D19" i="2"/>
  <c r="E24" i="2"/>
  <c r="E16" i="2"/>
  <c r="E17" i="2"/>
  <c r="E18" i="2"/>
  <c r="E19" i="2"/>
  <c r="E22" i="2"/>
  <c r="E29" i="2"/>
  <c r="E30" i="2"/>
  <c r="E28" i="2"/>
  <c r="E23" i="2"/>
  <c r="E25" i="2"/>
  <c r="D29" i="2"/>
  <c r="D30" i="2"/>
  <c r="D28" i="2"/>
  <c r="D23" i="2"/>
  <c r="D24" i="2"/>
  <c r="D25" i="2"/>
  <c r="D22" i="2"/>
  <c r="D16" i="2"/>
  <c r="D17" i="2"/>
  <c r="C29" i="2"/>
  <c r="C30" i="2"/>
  <c r="C28" i="2"/>
  <c r="C16" i="2"/>
  <c r="C17" i="2"/>
  <c r="C18" i="2"/>
  <c r="C19" i="2"/>
  <c r="C23" i="2"/>
  <c r="C24" i="2"/>
  <c r="C25" i="2"/>
  <c r="C22" i="2"/>
</calcChain>
</file>

<file path=xl/sharedStrings.xml><?xml version="1.0" encoding="utf-8"?>
<sst xmlns="http://schemas.openxmlformats.org/spreadsheetml/2006/main" count="82" uniqueCount="28">
  <si>
    <t>VENDEDOR(A)</t>
  </si>
  <si>
    <t>PRODUTO</t>
  </si>
  <si>
    <t>PREÇO</t>
  </si>
  <si>
    <t>ESTADO</t>
  </si>
  <si>
    <t>Júlio César Queiroz Carvalho</t>
  </si>
  <si>
    <t>CPU</t>
  </si>
  <si>
    <t>Minas Gerais</t>
  </si>
  <si>
    <t>Andréia Martins Q. Carvalho</t>
  </si>
  <si>
    <t>HeadSet</t>
  </si>
  <si>
    <t>Monitor</t>
  </si>
  <si>
    <t>Amazonas</t>
  </si>
  <si>
    <t>Rio De Janeiro</t>
  </si>
  <si>
    <t>Bahia</t>
  </si>
  <si>
    <t>REGISTRO DE VENDAS</t>
  </si>
  <si>
    <t>Controle Administrativo</t>
  </si>
  <si>
    <t>Faturamento Total</t>
  </si>
  <si>
    <t>Média De  Faturamento</t>
  </si>
  <si>
    <t>Faturamento Regional</t>
  </si>
  <si>
    <t>São Paulo</t>
  </si>
  <si>
    <t>Faturamento por Produto</t>
  </si>
  <si>
    <t>Mouse</t>
  </si>
  <si>
    <t>Faturamento por Vendendor(a)</t>
  </si>
  <si>
    <t>Paulo César de Carvalho</t>
  </si>
  <si>
    <t>Quant. Vendas</t>
  </si>
  <si>
    <t>DADOS:</t>
  </si>
  <si>
    <t>GRÁFICOS:</t>
  </si>
  <si>
    <t>MENU:</t>
  </si>
  <si>
    <t>VENDAS: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</si>
</sst>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0040"/>
        <bgColor indexed="64"/>
      </patternFill>
    </fill>
    <fill>
      <patternFill patternType="solid">
        <fgColor theme="8" tint="-0.249977111117893"/>
        <bgColor indexed="64"/>
      </patternFill>
    </fill>
  </fills>
  <borders count="8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000040"/>
      </left>
      <right style="thin">
        <color rgb="FF000040"/>
      </right>
      <top style="thin">
        <color rgb="FF000040"/>
      </top>
      <bottom style="thin">
        <color rgb="FF000040"/>
      </bottom>
      <diagonal/>
    </border>
    <border>
      <left/>
      <right/>
      <top/>
      <bottom style="thin">
        <color rgb="FF000040"/>
      </bottom>
      <diagonal/>
    </border>
    <border>
      <left/>
      <right/>
      <top style="thick">
        <color rgb="FF000040"/>
      </top>
      <bottom/>
      <diagonal/>
    </border>
    <border>
      <left/>
      <right/>
      <top/>
      <bottom style="thick">
        <color rgb="FF00004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40">
    <xf numFmtId="0" fontId="0" fillId="0" borderId="0" xfId="0"/>
    <xf numFmtId="44" fontId="0" fillId="0" borderId="0" xfId="0" applyNumberForma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44" fontId="0" fillId="0" borderId="3" xfId="0" applyNumberFormat="1" applyBorder="1" applyAlignment="1">
      <alignment horizontal="right"/>
    </xf>
    <xf numFmtId="44" fontId="0" fillId="0" borderId="0" xfId="0" applyNumberFormat="1" applyAlignment="1">
      <alignment horizontal="right"/>
    </xf>
    <xf numFmtId="44" fontId="1" fillId="3" borderId="3" xfId="0" applyNumberFormat="1" applyFont="1" applyFill="1" applyBorder="1" applyAlignment="1">
      <alignment horizontal="right"/>
    </xf>
    <xf numFmtId="44" fontId="0" fillId="0" borderId="0" xfId="1" applyFont="1" applyAlignment="1">
      <alignment horizontal="left"/>
    </xf>
    <xf numFmtId="44" fontId="0" fillId="0" borderId="3" xfId="1" applyFont="1" applyBorder="1" applyAlignment="1">
      <alignment horizontal="left"/>
    </xf>
    <xf numFmtId="0" fontId="3" fillId="3" borderId="0" xfId="0" applyFont="1" applyFill="1" applyAlignment="1">
      <alignment horizontal="right" vertical="top" indent="2"/>
    </xf>
    <xf numFmtId="0" fontId="1" fillId="3" borderId="6" xfId="0" applyFont="1" applyFill="1" applyBorder="1" applyAlignment="1">
      <alignment horizontal="right" indent="2"/>
    </xf>
    <xf numFmtId="0" fontId="4" fillId="4" borderId="0" xfId="0" applyFont="1" applyFill="1" applyAlignment="1">
      <alignment horizontal="center"/>
    </xf>
    <xf numFmtId="0" fontId="1" fillId="3" borderId="4" xfId="0" applyFont="1" applyFill="1" applyBorder="1" applyAlignment="1">
      <alignment horizontal="left" vertical="center"/>
    </xf>
    <xf numFmtId="0" fontId="4" fillId="4" borderId="0" xfId="0" applyFont="1" applyFill="1" applyAlignment="1"/>
    <xf numFmtId="0" fontId="3" fillId="3" borderId="0" xfId="0" applyFont="1" applyFill="1" applyAlignment="1">
      <alignment horizontal="right" vertical="top" indent="42"/>
    </xf>
    <xf numFmtId="0" fontId="1" fillId="3" borderId="6" xfId="0" applyFont="1" applyFill="1" applyBorder="1" applyAlignment="1">
      <alignment horizontal="right" indent="1"/>
    </xf>
    <xf numFmtId="0" fontId="1" fillId="3" borderId="6" xfId="0" applyFont="1" applyFill="1" applyBorder="1" applyAlignment="1">
      <alignment horizontal="right"/>
    </xf>
    <xf numFmtId="0" fontId="3" fillId="3" borderId="0" xfId="0" applyFont="1" applyFill="1" applyAlignment="1">
      <alignment horizontal="right" vertical="top"/>
    </xf>
    <xf numFmtId="0" fontId="1" fillId="3" borderId="6" xfId="0" applyFont="1" applyFill="1" applyBorder="1" applyAlignment="1">
      <alignment horizontal="right"/>
    </xf>
    <xf numFmtId="0" fontId="1" fillId="3" borderId="7" xfId="0" applyFont="1" applyFill="1" applyBorder="1" applyAlignment="1">
      <alignment horizontal="left"/>
    </xf>
    <xf numFmtId="0" fontId="1" fillId="3" borderId="7" xfId="0" applyFont="1" applyFill="1" applyBorder="1" applyAlignment="1">
      <alignment horizontal="center"/>
    </xf>
    <xf numFmtId="44" fontId="1" fillId="3" borderId="7" xfId="0" applyNumberFormat="1" applyFont="1" applyFill="1" applyBorder="1" applyAlignment="1">
      <alignment horizontal="center"/>
    </xf>
    <xf numFmtId="0" fontId="0" fillId="0" borderId="7" xfId="0" applyBorder="1"/>
    <xf numFmtId="44" fontId="0" fillId="0" borderId="7" xfId="0" applyNumberFormat="1" applyBorder="1"/>
    <xf numFmtId="0" fontId="3" fillId="3" borderId="0" xfId="0" applyFont="1" applyFill="1" applyAlignment="1">
      <alignment horizontal="left" vertical="center"/>
    </xf>
    <xf numFmtId="0" fontId="0" fillId="2" borderId="5" xfId="0" applyFill="1" applyBorder="1" applyAlignment="1"/>
    <xf numFmtId="0" fontId="0" fillId="2" borderId="0" xfId="0" applyFill="1" applyAlignment="1"/>
    <xf numFmtId="0" fontId="0" fillId="2" borderId="0" xfId="0" applyFill="1" applyBorder="1" applyAlignment="1"/>
    <xf numFmtId="0" fontId="0" fillId="0" borderId="0" xfId="0" applyBorder="1"/>
    <xf numFmtId="0" fontId="1" fillId="2" borderId="5" xfId="0" applyFont="1" applyFill="1" applyBorder="1" applyAlignment="1">
      <alignment horizontal="left"/>
    </xf>
    <xf numFmtId="0" fontId="5" fillId="2" borderId="5" xfId="0" applyFont="1" applyFill="1" applyBorder="1" applyAlignment="1">
      <alignment horizontal="left"/>
    </xf>
    <xf numFmtId="0" fontId="1" fillId="2" borderId="5" xfId="0" applyFont="1" applyFill="1" applyBorder="1" applyAlignment="1">
      <alignment horizontal="right" indent="2"/>
    </xf>
    <xf numFmtId="0" fontId="1" fillId="2" borderId="5" xfId="0" applyFont="1" applyFill="1" applyBorder="1" applyAlignment="1">
      <alignment horizontal="left" indent="2"/>
    </xf>
    <xf numFmtId="0" fontId="1" fillId="2" borderId="5" xfId="0" applyFont="1" applyFill="1" applyBorder="1" applyAlignment="1">
      <alignment horizontal="left"/>
    </xf>
    <xf numFmtId="0" fontId="1" fillId="3" borderId="6" xfId="0" applyFont="1" applyFill="1" applyBorder="1" applyAlignmen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000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0040"/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rgbClr val="000040"/>
                </a:solidFill>
              </a:rPr>
              <a:t>Faturamento por Região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004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004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0040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Análises!$B$15:$B$19</c:f>
              <c:strCache>
                <c:ptCount val="5"/>
                <c:pt idx="0">
                  <c:v>Amazonas</c:v>
                </c:pt>
                <c:pt idx="1">
                  <c:v>Bahia</c:v>
                </c:pt>
                <c:pt idx="2">
                  <c:v>Minas Gerais</c:v>
                </c:pt>
                <c:pt idx="3">
                  <c:v>Rio De Janeiro</c:v>
                </c:pt>
                <c:pt idx="4">
                  <c:v>São Paulo</c:v>
                </c:pt>
              </c:strCache>
            </c:strRef>
          </c:cat>
          <c:val>
            <c:numRef>
              <c:f>Análises!$C$15:$C$19</c:f>
              <c:numCache>
                <c:formatCode>_("R$"* #,##0.00_);_("R$"* \(#,##0.00\);_("R$"* "-"??_);_(@_)</c:formatCode>
                <c:ptCount val="5"/>
                <c:pt idx="0">
                  <c:v>6000</c:v>
                </c:pt>
                <c:pt idx="1">
                  <c:v>0</c:v>
                </c:pt>
                <c:pt idx="2">
                  <c:v>9820</c:v>
                </c:pt>
                <c:pt idx="3">
                  <c:v>10300</c:v>
                </c:pt>
                <c:pt idx="4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73-4A7D-8728-F054EA50E6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26147856"/>
        <c:axId val="426148336"/>
      </c:barChart>
      <c:catAx>
        <c:axId val="426147856"/>
        <c:scaling>
          <c:orientation val="minMax"/>
        </c:scaling>
        <c:delete val="0"/>
        <c:axPos val="b"/>
        <c:numFmt formatCode="_(&quot;R$&quot;* #,##0.00_);_(&quot;R$&quot;* \(#,##0.00\);_(&quot;R$&quot;* &quot;-&quot;??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148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614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147856"/>
        <c:crosses val="autoZero"/>
        <c:crossBetween val="between"/>
        <c:majorUnit val="1000"/>
        <c:minorUnit val="5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4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0040"/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rgbClr val="000040"/>
                </a:solidFill>
              </a:rPr>
              <a:t>Quant.</a:t>
            </a:r>
            <a:r>
              <a:rPr lang="pt-BR" b="1" baseline="0">
                <a:solidFill>
                  <a:srgbClr val="000040"/>
                </a:solidFill>
              </a:rPr>
              <a:t> Vendas por Região</a:t>
            </a:r>
            <a:endParaRPr lang="pt-BR" b="1">
              <a:solidFill>
                <a:srgbClr val="00004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004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004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0040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Análises!$B$15:$B$19</c:f>
              <c:strCache>
                <c:ptCount val="5"/>
                <c:pt idx="0">
                  <c:v>Amazonas</c:v>
                </c:pt>
                <c:pt idx="1">
                  <c:v>Bahia</c:v>
                </c:pt>
                <c:pt idx="2">
                  <c:v>Minas Gerais</c:v>
                </c:pt>
                <c:pt idx="3">
                  <c:v>Rio De Janeiro</c:v>
                </c:pt>
                <c:pt idx="4">
                  <c:v>São Paulo</c:v>
                </c:pt>
              </c:strCache>
            </c:strRef>
          </c:cat>
          <c:val>
            <c:numRef>
              <c:f>Análises!$D$15:$D$19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5</c:v>
                </c:pt>
                <c:pt idx="3">
                  <c:v>7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6F-49E1-B2FD-2F46C8758A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26147856"/>
        <c:axId val="426148336"/>
      </c:barChart>
      <c:catAx>
        <c:axId val="426147856"/>
        <c:scaling>
          <c:orientation val="minMax"/>
        </c:scaling>
        <c:delete val="0"/>
        <c:axPos val="b"/>
        <c:numFmt formatCode="_(&quot;R$&quot;* #,##0.00_);_(&quot;R$&quot;* \(#,##0.00\);_(&quot;R$&quot;* &quot;-&quot;??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148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614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14785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4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0040"/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rgbClr val="000040"/>
                </a:solidFill>
              </a:rPr>
              <a:t>Faturamento</a:t>
            </a:r>
            <a:r>
              <a:rPr lang="pt-BR" b="1" baseline="0">
                <a:solidFill>
                  <a:srgbClr val="000040"/>
                </a:solidFill>
              </a:rPr>
              <a:t> por Produto</a:t>
            </a:r>
            <a:endParaRPr lang="pt-BR" b="1">
              <a:solidFill>
                <a:srgbClr val="00004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004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004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793-4E41-8805-E4C3CEE54E77}"/>
              </c:ext>
            </c:extLst>
          </c:dPt>
          <c:dPt>
            <c:idx val="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793-4E41-8805-E4C3CEE54E77}"/>
              </c:ext>
            </c:extLst>
          </c:dPt>
          <c:dPt>
            <c:idx val="2"/>
            <c:bubble3D val="0"/>
            <c:spPr>
              <a:solidFill>
                <a:schemeClr val="accent5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793-4E41-8805-E4C3CEE54E77}"/>
              </c:ext>
            </c:extLst>
          </c:dPt>
          <c:dLbls>
            <c:spPr>
              <a:solidFill>
                <a:srgbClr val="000040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Análises!$B$22:$B$25</c:f>
              <c:strCache>
                <c:ptCount val="4"/>
                <c:pt idx="0">
                  <c:v>CPU</c:v>
                </c:pt>
                <c:pt idx="1">
                  <c:v>HeadSet</c:v>
                </c:pt>
                <c:pt idx="2">
                  <c:v>Monitor</c:v>
                </c:pt>
                <c:pt idx="3">
                  <c:v>Mouse</c:v>
                </c:pt>
              </c:strCache>
            </c:strRef>
          </c:cat>
          <c:val>
            <c:numRef>
              <c:f>Análises!$C$22:$C$25</c:f>
              <c:numCache>
                <c:formatCode>_("R$"* #,##0.00_);_("R$"* \(#,##0.00\);_("R$"* "-"??_);_(@_)</c:formatCode>
                <c:ptCount val="4"/>
                <c:pt idx="0">
                  <c:v>21700</c:v>
                </c:pt>
                <c:pt idx="1">
                  <c:v>3920</c:v>
                </c:pt>
                <c:pt idx="2">
                  <c:v>0</c:v>
                </c:pt>
                <c:pt idx="3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93-4E41-8805-E4C3CEE54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4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4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0040"/>
                </a:solidFill>
                <a:latin typeface="+mn-lt"/>
                <a:ea typeface="+mn-ea"/>
                <a:cs typeface="+mn-cs"/>
              </a:defRPr>
            </a:pPr>
            <a:r>
              <a:rPr lang="pt-BR" b="1" baseline="0">
                <a:solidFill>
                  <a:srgbClr val="000040"/>
                </a:solidFill>
              </a:rPr>
              <a:t>Quant. Vendas por Produto</a:t>
            </a:r>
            <a:endParaRPr lang="pt-BR" b="1">
              <a:solidFill>
                <a:srgbClr val="00004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004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004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8F4-4A33-B9AE-C387127E00B6}"/>
              </c:ext>
            </c:extLst>
          </c:dPt>
          <c:dPt>
            <c:idx val="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8F4-4A33-B9AE-C387127E00B6}"/>
              </c:ext>
            </c:extLst>
          </c:dPt>
          <c:dPt>
            <c:idx val="2"/>
            <c:bubble3D val="0"/>
            <c:spPr>
              <a:solidFill>
                <a:schemeClr val="accent5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8F4-4A33-B9AE-C387127E00B6}"/>
              </c:ext>
            </c:extLst>
          </c:dPt>
          <c:dPt>
            <c:idx val="3"/>
            <c:bubble3D val="0"/>
            <c:spPr>
              <a:solidFill>
                <a:schemeClr val="accent5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8F4-4A33-B9AE-C387127E00B6}"/>
              </c:ext>
            </c:extLst>
          </c:dPt>
          <c:dLbls>
            <c:spPr>
              <a:solidFill>
                <a:srgbClr val="000040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Análises!$B$22:$B$25</c:f>
              <c:strCache>
                <c:ptCount val="4"/>
                <c:pt idx="0">
                  <c:v>CPU</c:v>
                </c:pt>
                <c:pt idx="1">
                  <c:v>HeadSet</c:v>
                </c:pt>
                <c:pt idx="2">
                  <c:v>Monitor</c:v>
                </c:pt>
                <c:pt idx="3">
                  <c:v>Mouse</c:v>
                </c:pt>
              </c:strCache>
            </c:strRef>
          </c:cat>
          <c:val>
            <c:numRef>
              <c:f>Análises!$D$22:$D$25</c:f>
              <c:numCache>
                <c:formatCode>General</c:formatCode>
                <c:ptCount val="4"/>
                <c:pt idx="0">
                  <c:v>7</c:v>
                </c:pt>
                <c:pt idx="1">
                  <c:v>6</c:v>
                </c:pt>
                <c:pt idx="2">
                  <c:v>0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F4-4A33-B9AE-C387127E0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rgbClr val="00004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4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0040"/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rgbClr val="000040"/>
                </a:solidFill>
              </a:rPr>
              <a:t>Faturamento por Vendedor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004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004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0040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Análises!$B$28:$B$30</c:f>
              <c:strCache>
                <c:ptCount val="3"/>
                <c:pt idx="0">
                  <c:v>Andréia Martins Q. Carvalho</c:v>
                </c:pt>
                <c:pt idx="1">
                  <c:v>Júlio César Queiroz Carvalho</c:v>
                </c:pt>
                <c:pt idx="2">
                  <c:v>Paulo César de Carvalho</c:v>
                </c:pt>
              </c:strCache>
            </c:strRef>
          </c:cat>
          <c:val>
            <c:numRef>
              <c:f>Análises!$C$28:$C$30</c:f>
              <c:numCache>
                <c:formatCode>_("R$"* #,##0.00_);_("R$"* \(#,##0.00\);_("R$"* "-"??_);_(@_)</c:formatCode>
                <c:ptCount val="3"/>
                <c:pt idx="0">
                  <c:v>6420</c:v>
                </c:pt>
                <c:pt idx="1">
                  <c:v>20000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35-44F6-B6F1-890AB7B7D4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26147856"/>
        <c:axId val="426148336"/>
      </c:barChart>
      <c:catAx>
        <c:axId val="426147856"/>
        <c:scaling>
          <c:orientation val="minMax"/>
        </c:scaling>
        <c:delete val="0"/>
        <c:axPos val="b"/>
        <c:numFmt formatCode="_(&quot;R$&quot;* #,##0.00_);_(&quot;R$&quot;* \(#,##0.00\);_(&quot;R$&quot;* &quot;-&quot;??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148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614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in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147856"/>
        <c:crosses val="autoZero"/>
        <c:crossBetween val="between"/>
        <c:majorUnit val="5000"/>
        <c:minorUnit val="2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4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0040"/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rgbClr val="000040"/>
                </a:solidFill>
              </a:rPr>
              <a:t>Quant.</a:t>
            </a:r>
            <a:r>
              <a:rPr lang="pt-BR" b="1" baseline="0">
                <a:solidFill>
                  <a:srgbClr val="000040"/>
                </a:solidFill>
              </a:rPr>
              <a:t> Vendas por Vendedor</a:t>
            </a:r>
            <a:endParaRPr lang="pt-BR" b="1">
              <a:solidFill>
                <a:srgbClr val="00004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004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004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0040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Análises!$B$28:$B$30</c:f>
              <c:strCache>
                <c:ptCount val="3"/>
                <c:pt idx="0">
                  <c:v>Andréia Martins Q. Carvalho</c:v>
                </c:pt>
                <c:pt idx="1">
                  <c:v>Júlio César Queiroz Carvalho</c:v>
                </c:pt>
                <c:pt idx="2">
                  <c:v>Paulo César de Carvalho</c:v>
                </c:pt>
              </c:strCache>
            </c:strRef>
          </c:cat>
          <c:val>
            <c:numRef>
              <c:f>Análises!$D$28:$D$30</c:f>
              <c:numCache>
                <c:formatCode>General</c:formatCode>
                <c:ptCount val="3"/>
                <c:pt idx="0">
                  <c:v>7</c:v>
                </c:pt>
                <c:pt idx="1">
                  <c:v>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55-46E4-887A-824A909C865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26147856"/>
        <c:axId val="426148336"/>
      </c:barChart>
      <c:catAx>
        <c:axId val="426147856"/>
        <c:scaling>
          <c:orientation val="minMax"/>
        </c:scaling>
        <c:delete val="0"/>
        <c:axPos val="b"/>
        <c:numFmt formatCode="_(&quot;R$&quot;* #,##0.00_);_(&quot;R$&quot;* \(#,##0.00\);_(&quot;R$&quot;* &quot;-&quot;??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148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614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14785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4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180975</xdr:rowOff>
    </xdr:from>
    <xdr:to>
      <xdr:col>1</xdr:col>
      <xdr:colOff>1334325</xdr:colOff>
      <xdr:row>8</xdr:row>
      <xdr:rowOff>0</xdr:rowOff>
    </xdr:to>
    <xdr:sp macro="[0]!abrirCadastroDeVenda" textlink="">
      <xdr:nvSpPr>
        <xdr:cNvPr id="2" name="Retângulo 1">
          <a:extLst>
            <a:ext uri="{FF2B5EF4-FFF2-40B4-BE49-F238E27FC236}">
              <a16:creationId xmlns:a16="http://schemas.microsoft.com/office/drawing/2014/main" id="{D427BCA3-8C3D-4753-A150-5CEA9D6FF026}"/>
            </a:ext>
          </a:extLst>
        </xdr:cNvPr>
        <xdr:cNvSpPr/>
      </xdr:nvSpPr>
      <xdr:spPr>
        <a:xfrm>
          <a:off x="209550" y="1323975"/>
          <a:ext cx="1324800" cy="20002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rgbClr val="000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00040"/>
              </a:solidFill>
            </a:rPr>
            <a:t>NOVA </a:t>
          </a:r>
          <a:r>
            <a:rPr lang="pt-BR" sz="1100" b="1" baseline="0">
              <a:solidFill>
                <a:srgbClr val="000040"/>
              </a:solidFill>
            </a:rPr>
            <a:t>VENDA</a:t>
          </a:r>
          <a:endParaRPr lang="pt-BR" sz="1100" b="1">
            <a:solidFill>
              <a:srgbClr val="000040"/>
            </a:solidFill>
          </a:endParaRPr>
        </a:p>
      </xdr:txBody>
    </xdr:sp>
    <xdr:clientData/>
  </xdr:twoCellAnchor>
  <xdr:twoCellAnchor>
    <xdr:from>
      <xdr:col>1</xdr:col>
      <xdr:colOff>1504950</xdr:colOff>
      <xdr:row>6</xdr:row>
      <xdr:rowOff>180975</xdr:rowOff>
    </xdr:from>
    <xdr:to>
      <xdr:col>2</xdr:col>
      <xdr:colOff>915225</xdr:colOff>
      <xdr:row>8</xdr:row>
      <xdr:rowOff>0</xdr:rowOff>
    </xdr:to>
    <xdr:sp macro="[0]!mostraVendas" textlink="">
      <xdr:nvSpPr>
        <xdr:cNvPr id="7" name="Retângulo 6">
          <a:extLst>
            <a:ext uri="{FF2B5EF4-FFF2-40B4-BE49-F238E27FC236}">
              <a16:creationId xmlns:a16="http://schemas.microsoft.com/office/drawing/2014/main" id="{E3553476-3D8B-412D-ADC9-A1892C8704CC}"/>
            </a:ext>
          </a:extLst>
        </xdr:cNvPr>
        <xdr:cNvSpPr/>
      </xdr:nvSpPr>
      <xdr:spPr>
        <a:xfrm>
          <a:off x="1704975" y="1323975"/>
          <a:ext cx="1324800" cy="20002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rgbClr val="000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00040"/>
              </a:solidFill>
            </a:rPr>
            <a:t>VENDAS</a:t>
          </a:r>
        </a:p>
      </xdr:txBody>
    </xdr:sp>
    <xdr:clientData/>
  </xdr:twoCellAnchor>
  <xdr:twoCellAnchor>
    <xdr:from>
      <xdr:col>6</xdr:col>
      <xdr:colOff>1066800</xdr:colOff>
      <xdr:row>6</xdr:row>
      <xdr:rowOff>180975</xdr:rowOff>
    </xdr:from>
    <xdr:to>
      <xdr:col>6</xdr:col>
      <xdr:colOff>2391600</xdr:colOff>
      <xdr:row>8</xdr:row>
      <xdr:rowOff>0</xdr:rowOff>
    </xdr:to>
    <xdr:sp macro="[0]!abrePaginaAnalises" textlink="">
      <xdr:nvSpPr>
        <xdr:cNvPr id="9" name="Retângulo 8">
          <a:extLst>
            <a:ext uri="{FF2B5EF4-FFF2-40B4-BE49-F238E27FC236}">
              <a16:creationId xmlns:a16="http://schemas.microsoft.com/office/drawing/2014/main" id="{F551F8D1-5CB3-4C27-A08A-FDC510231760}"/>
            </a:ext>
          </a:extLst>
        </xdr:cNvPr>
        <xdr:cNvSpPr/>
      </xdr:nvSpPr>
      <xdr:spPr>
        <a:xfrm>
          <a:off x="6505575" y="1323975"/>
          <a:ext cx="1324800" cy="200025"/>
        </a:xfrm>
        <a:prstGeom prst="rect">
          <a:avLst/>
        </a:prstGeom>
        <a:solidFill>
          <a:srgbClr val="000040"/>
        </a:solidFill>
        <a:ln w="28575">
          <a:solidFill>
            <a:schemeClr val="accent5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ANÁLISES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200024</xdr:colOff>
      <xdr:row>36</xdr:row>
      <xdr:rowOff>4762</xdr:rowOff>
    </xdr:from>
    <xdr:to>
      <xdr:col>4</xdr:col>
      <xdr:colOff>915374</xdr:colOff>
      <xdr:row>48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86F120BB-EF06-EBC4-B656-63C85D6DC1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4</xdr:col>
      <xdr:colOff>1000125</xdr:colOff>
      <xdr:row>36</xdr:row>
      <xdr:rowOff>0</xdr:rowOff>
    </xdr:from>
    <xdr:to>
      <xdr:col>8</xdr:col>
      <xdr:colOff>2010750</xdr:colOff>
      <xdr:row>47</xdr:row>
      <xdr:rowOff>186900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E77D85CE-2362-4012-971B-61C93836F0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1</xdr:col>
      <xdr:colOff>0</xdr:colOff>
      <xdr:row>48</xdr:row>
      <xdr:rowOff>90486</xdr:rowOff>
    </xdr:from>
    <xdr:to>
      <xdr:col>4</xdr:col>
      <xdr:colOff>914400</xdr:colOff>
      <xdr:row>60</xdr:row>
      <xdr:rowOff>72486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FCA8130-2B27-F444-4846-2C46C88A9D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absolute">
    <xdr:from>
      <xdr:col>4</xdr:col>
      <xdr:colOff>1000125</xdr:colOff>
      <xdr:row>48</xdr:row>
      <xdr:rowOff>85725</xdr:rowOff>
    </xdr:from>
    <xdr:to>
      <xdr:col>8</xdr:col>
      <xdr:colOff>2010750</xdr:colOff>
      <xdr:row>60</xdr:row>
      <xdr:rowOff>67725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61FB7FF-938F-46EF-88E7-9B176BDEC0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1</xdr:col>
      <xdr:colOff>9524</xdr:colOff>
      <xdr:row>7</xdr:row>
      <xdr:rowOff>0</xdr:rowOff>
    </xdr:from>
    <xdr:to>
      <xdr:col>1</xdr:col>
      <xdr:colOff>1333499</xdr:colOff>
      <xdr:row>8</xdr:row>
      <xdr:rowOff>0</xdr:rowOff>
    </xdr:to>
    <xdr:sp macro="[0]!MostraDados" textlink="">
      <xdr:nvSpPr>
        <xdr:cNvPr id="6" name="Retângulo 5">
          <a:extLst>
            <a:ext uri="{FF2B5EF4-FFF2-40B4-BE49-F238E27FC236}">
              <a16:creationId xmlns:a16="http://schemas.microsoft.com/office/drawing/2014/main" id="{393C8B04-E0D5-CB46-FFD2-9E35A7FAF5DB}"/>
            </a:ext>
          </a:extLst>
        </xdr:cNvPr>
        <xdr:cNvSpPr/>
      </xdr:nvSpPr>
      <xdr:spPr>
        <a:xfrm>
          <a:off x="209549" y="1333500"/>
          <a:ext cx="1323975" cy="19050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rgbClr val="000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00040"/>
              </a:solidFill>
            </a:rPr>
            <a:t>DADOS</a:t>
          </a:r>
        </a:p>
      </xdr:txBody>
    </xdr:sp>
    <xdr:clientData/>
  </xdr:twoCellAnchor>
  <xdr:twoCellAnchor>
    <xdr:from>
      <xdr:col>1</xdr:col>
      <xdr:colOff>1504950</xdr:colOff>
      <xdr:row>6</xdr:row>
      <xdr:rowOff>180975</xdr:rowOff>
    </xdr:from>
    <xdr:to>
      <xdr:col>2</xdr:col>
      <xdr:colOff>877125</xdr:colOff>
      <xdr:row>8</xdr:row>
      <xdr:rowOff>0</xdr:rowOff>
    </xdr:to>
    <xdr:sp macro="[0]!mostraGraficos" textlink="">
      <xdr:nvSpPr>
        <xdr:cNvPr id="7" name="Retângulo 6">
          <a:extLst>
            <a:ext uri="{FF2B5EF4-FFF2-40B4-BE49-F238E27FC236}">
              <a16:creationId xmlns:a16="http://schemas.microsoft.com/office/drawing/2014/main" id="{304AF578-BFCE-4CA8-8E9B-0301B7214B3F}"/>
            </a:ext>
          </a:extLst>
        </xdr:cNvPr>
        <xdr:cNvSpPr/>
      </xdr:nvSpPr>
      <xdr:spPr>
        <a:xfrm>
          <a:off x="1704975" y="1323975"/>
          <a:ext cx="1324800" cy="20002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rgbClr val="000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00040"/>
              </a:solidFill>
            </a:rPr>
            <a:t>GRÁFICOS</a:t>
          </a:r>
        </a:p>
      </xdr:txBody>
    </xdr:sp>
    <xdr:clientData/>
  </xdr:twoCellAnchor>
  <xdr:twoCellAnchor editAs="absolute">
    <xdr:from>
      <xdr:col>0</xdr:col>
      <xdr:colOff>200024</xdr:colOff>
      <xdr:row>60</xdr:row>
      <xdr:rowOff>157162</xdr:rowOff>
    </xdr:from>
    <xdr:to>
      <xdr:col>4</xdr:col>
      <xdr:colOff>915374</xdr:colOff>
      <xdr:row>72</xdr:row>
      <xdr:rowOff>152400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697D0D61-645B-4AAB-9241-EDA73AED69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4</xdr:col>
      <xdr:colOff>1000125</xdr:colOff>
      <xdr:row>60</xdr:row>
      <xdr:rowOff>152400</xdr:rowOff>
    </xdr:from>
    <xdr:to>
      <xdr:col>8</xdr:col>
      <xdr:colOff>2010750</xdr:colOff>
      <xdr:row>72</xdr:row>
      <xdr:rowOff>148800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04DD40A-6B96-4EC0-8AFE-4AF9D7BFA1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8</xdr:col>
      <xdr:colOff>685800</xdr:colOff>
      <xdr:row>7</xdr:row>
      <xdr:rowOff>0</xdr:rowOff>
    </xdr:from>
    <xdr:to>
      <xdr:col>8</xdr:col>
      <xdr:colOff>2010600</xdr:colOff>
      <xdr:row>8</xdr:row>
      <xdr:rowOff>9525</xdr:rowOff>
    </xdr:to>
    <xdr:sp macro="[0]!abrePaginaVendas" textlink="">
      <xdr:nvSpPr>
        <xdr:cNvPr id="14" name="Retângulo 13">
          <a:extLst>
            <a:ext uri="{FF2B5EF4-FFF2-40B4-BE49-F238E27FC236}">
              <a16:creationId xmlns:a16="http://schemas.microsoft.com/office/drawing/2014/main" id="{68FA1B79-DDC4-36E5-8151-43FF9F9F30ED}"/>
            </a:ext>
          </a:extLst>
        </xdr:cNvPr>
        <xdr:cNvSpPr/>
      </xdr:nvSpPr>
      <xdr:spPr>
        <a:xfrm>
          <a:off x="8658225" y="1333500"/>
          <a:ext cx="1324800" cy="200025"/>
        </a:xfrm>
        <a:prstGeom prst="rect">
          <a:avLst/>
        </a:prstGeom>
        <a:solidFill>
          <a:srgbClr val="000040"/>
        </a:solidFill>
        <a:ln w="28575">
          <a:solidFill>
            <a:schemeClr val="accent5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VENDAS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G39"/>
  <sheetViews>
    <sheetView zoomScaleNormal="100" workbookViewId="0">
      <selection activeCell="B11" sqref="B11"/>
    </sheetView>
  </sheetViews>
  <sheetFormatPr defaultRowHeight="15" x14ac:dyDescent="0.25"/>
  <cols>
    <col min="1" max="1" width="3" customWidth="1"/>
    <col min="2" max="2" width="28.7109375" customWidth="1"/>
    <col min="3" max="3" width="15" customWidth="1"/>
    <col min="4" max="4" width="16.5703125" customWidth="1"/>
    <col min="5" max="5" width="15.28515625" style="1" customWidth="1"/>
    <col min="6" max="6" width="3" customWidth="1"/>
    <col min="7" max="7" width="39.5703125" customWidth="1"/>
  </cols>
  <sheetData>
    <row r="1" spans="1:7" ht="15" customHeight="1" x14ac:dyDescent="0.25"/>
    <row r="2" spans="1:7" ht="15" customHeight="1" x14ac:dyDescent="0.25">
      <c r="A2" s="18"/>
      <c r="B2" s="18"/>
      <c r="C2" s="18"/>
      <c r="D2" s="18"/>
      <c r="E2" s="18"/>
      <c r="F2" s="18"/>
      <c r="G2" s="18"/>
    </row>
    <row r="3" spans="1:7" ht="15" customHeight="1" x14ac:dyDescent="0.25">
      <c r="A3" s="31"/>
      <c r="B3" s="31"/>
      <c r="C3" s="31"/>
      <c r="D3" s="31"/>
      <c r="E3" s="31"/>
      <c r="F3" s="31"/>
      <c r="G3" s="31"/>
    </row>
    <row r="4" spans="1:7" ht="15" customHeight="1" x14ac:dyDescent="0.25">
      <c r="A4" s="14"/>
      <c r="B4" s="14"/>
      <c r="C4" s="14"/>
      <c r="D4" s="14"/>
      <c r="E4" s="14"/>
      <c r="F4" s="14"/>
      <c r="G4" s="14" t="s">
        <v>13</v>
      </c>
    </row>
    <row r="5" spans="1:7" ht="15" customHeight="1" thickBot="1" x14ac:dyDescent="0.3">
      <c r="A5" s="39"/>
      <c r="B5" s="39"/>
      <c r="C5" s="39"/>
      <c r="D5" s="39"/>
      <c r="E5" s="39"/>
      <c r="F5" s="39"/>
      <c r="G5" s="15" t="s">
        <v>14</v>
      </c>
    </row>
    <row r="6" spans="1:7" ht="15" customHeight="1" thickTop="1" x14ac:dyDescent="0.25">
      <c r="A6" s="30"/>
      <c r="B6" s="34" t="s">
        <v>26</v>
      </c>
      <c r="C6" s="36"/>
      <c r="D6" s="36"/>
      <c r="E6" s="36"/>
      <c r="F6" s="38"/>
      <c r="G6" s="38"/>
    </row>
    <row r="7" spans="1:7" ht="15" customHeight="1" x14ac:dyDescent="0.25">
      <c r="A7" s="33"/>
      <c r="B7" s="33"/>
      <c r="C7" s="33"/>
      <c r="D7" s="33"/>
      <c r="E7" s="33"/>
      <c r="F7" s="33"/>
      <c r="G7" s="33"/>
    </row>
    <row r="8" spans="1:7" ht="15" customHeight="1" x14ac:dyDescent="0.25">
      <c r="A8" s="33"/>
      <c r="B8" s="33"/>
      <c r="C8" s="33"/>
      <c r="D8" s="33"/>
      <c r="E8" s="33"/>
      <c r="F8" s="33"/>
      <c r="G8" s="33"/>
    </row>
    <row r="9" spans="1:7" ht="15" customHeight="1" x14ac:dyDescent="0.25">
      <c r="A9" s="33"/>
      <c r="B9" s="33"/>
      <c r="C9" s="33"/>
      <c r="D9" s="33"/>
      <c r="E9" s="33"/>
      <c r="F9" s="33"/>
      <c r="G9" s="33"/>
    </row>
    <row r="10" spans="1:7" ht="15" customHeight="1" x14ac:dyDescent="0.25">
      <c r="A10" s="32"/>
      <c r="B10" s="32"/>
      <c r="C10" s="32"/>
      <c r="D10" s="32"/>
      <c r="E10" s="32"/>
      <c r="F10" s="32"/>
      <c r="G10" s="32"/>
    </row>
    <row r="11" spans="1:7" ht="15" customHeight="1" thickBot="1" x14ac:dyDescent="0.3">
      <c r="A11" s="29"/>
      <c r="B11" s="29" t="s">
        <v>27</v>
      </c>
      <c r="C11" s="29"/>
      <c r="D11" s="29"/>
      <c r="E11" s="29"/>
      <c r="F11" s="29"/>
      <c r="G11" s="29"/>
    </row>
    <row r="12" spans="1:7" ht="15" customHeight="1" thickTop="1" x14ac:dyDescent="0.25">
      <c r="A12" s="30"/>
      <c r="B12" s="30"/>
      <c r="C12" s="30"/>
      <c r="D12" s="30"/>
      <c r="E12" s="30"/>
      <c r="F12" s="30"/>
      <c r="G12" s="30"/>
    </row>
    <row r="13" spans="1:7" ht="15" customHeight="1" x14ac:dyDescent="0.25">
      <c r="A13" s="33"/>
      <c r="B13" s="33"/>
      <c r="C13" s="33"/>
      <c r="D13" s="33"/>
      <c r="E13" s="33"/>
      <c r="F13" s="33"/>
      <c r="G13" s="33"/>
    </row>
    <row r="14" spans="1:7" ht="15" customHeight="1" x14ac:dyDescent="0.25">
      <c r="B14" s="2" t="s">
        <v>0</v>
      </c>
      <c r="C14" s="3" t="s">
        <v>1</v>
      </c>
      <c r="D14" s="4" t="s">
        <v>3</v>
      </c>
      <c r="E14" s="3" t="s">
        <v>2</v>
      </c>
    </row>
    <row r="15" spans="1:7" ht="15" customHeight="1" x14ac:dyDescent="0.25">
      <c r="B15" t="s">
        <v>4</v>
      </c>
      <c r="C15" t="s">
        <v>5</v>
      </c>
      <c r="D15" t="s">
        <v>6</v>
      </c>
      <c r="E15" s="1">
        <v>3200</v>
      </c>
    </row>
    <row r="16" spans="1:7" ht="15" customHeight="1" x14ac:dyDescent="0.25">
      <c r="B16" t="s">
        <v>7</v>
      </c>
      <c r="C16" t="s">
        <v>8</v>
      </c>
      <c r="D16" t="s">
        <v>6</v>
      </c>
      <c r="E16" s="1">
        <v>320</v>
      </c>
    </row>
    <row r="17" spans="2:5" ht="15" customHeight="1" x14ac:dyDescent="0.25">
      <c r="B17" t="s">
        <v>7</v>
      </c>
      <c r="C17" t="s">
        <v>5</v>
      </c>
      <c r="D17" t="s">
        <v>6</v>
      </c>
      <c r="E17" s="1">
        <v>1500</v>
      </c>
    </row>
    <row r="18" spans="2:5" ht="15" customHeight="1" x14ac:dyDescent="0.25">
      <c r="B18" t="s">
        <v>4</v>
      </c>
      <c r="C18" t="s">
        <v>5</v>
      </c>
      <c r="D18" t="s">
        <v>10</v>
      </c>
      <c r="E18" s="1">
        <v>3000</v>
      </c>
    </row>
    <row r="19" spans="2:5" ht="15" customHeight="1" x14ac:dyDescent="0.25">
      <c r="B19" t="s">
        <v>4</v>
      </c>
      <c r="C19" t="s">
        <v>8</v>
      </c>
      <c r="D19" t="s">
        <v>11</v>
      </c>
      <c r="E19" s="1">
        <v>500</v>
      </c>
    </row>
    <row r="20" spans="2:5" ht="15" customHeight="1" x14ac:dyDescent="0.25">
      <c r="B20" t="s">
        <v>4</v>
      </c>
      <c r="C20" t="s">
        <v>8</v>
      </c>
      <c r="D20" t="s">
        <v>6</v>
      </c>
      <c r="E20" s="1">
        <v>2300</v>
      </c>
    </row>
    <row r="21" spans="2:5" ht="15" customHeight="1" x14ac:dyDescent="0.25">
      <c r="B21" t="s">
        <v>7</v>
      </c>
      <c r="C21" t="s">
        <v>8</v>
      </c>
      <c r="D21" t="s">
        <v>11</v>
      </c>
      <c r="E21" s="1">
        <v>300</v>
      </c>
    </row>
    <row r="22" spans="2:5" ht="15" customHeight="1" x14ac:dyDescent="0.25">
      <c r="B22" t="s">
        <v>4</v>
      </c>
      <c r="C22" t="s">
        <v>5</v>
      </c>
      <c r="D22" t="s">
        <v>10</v>
      </c>
      <c r="E22" s="1">
        <v>3000</v>
      </c>
    </row>
    <row r="23" spans="2:5" ht="15" customHeight="1" x14ac:dyDescent="0.25">
      <c r="B23" t="s">
        <v>4</v>
      </c>
      <c r="C23" t="s">
        <v>5</v>
      </c>
      <c r="D23" t="s">
        <v>11</v>
      </c>
      <c r="E23" s="1">
        <v>5000</v>
      </c>
    </row>
    <row r="24" spans="2:5" ht="15" customHeight="1" x14ac:dyDescent="0.25">
      <c r="B24" t="s">
        <v>7</v>
      </c>
      <c r="C24" t="s">
        <v>20</v>
      </c>
      <c r="D24" t="s">
        <v>18</v>
      </c>
      <c r="E24" s="1">
        <v>300</v>
      </c>
    </row>
    <row r="25" spans="2:5" ht="15" customHeight="1" x14ac:dyDescent="0.25">
      <c r="B25" t="s">
        <v>4</v>
      </c>
      <c r="C25" t="s">
        <v>20</v>
      </c>
      <c r="D25" t="s">
        <v>11</v>
      </c>
      <c r="E25" s="1">
        <v>500</v>
      </c>
    </row>
    <row r="26" spans="2:5" ht="15" customHeight="1" x14ac:dyDescent="0.25">
      <c r="B26" t="s">
        <v>7</v>
      </c>
      <c r="C26" t="s">
        <v>5</v>
      </c>
      <c r="D26" t="s">
        <v>11</v>
      </c>
      <c r="E26" s="1">
        <v>3500</v>
      </c>
    </row>
    <row r="27" spans="2:5" ht="15" customHeight="1" x14ac:dyDescent="0.25">
      <c r="B27" t="s">
        <v>7</v>
      </c>
      <c r="C27" t="s">
        <v>8</v>
      </c>
      <c r="D27" t="s">
        <v>11</v>
      </c>
      <c r="E27" s="1">
        <v>300</v>
      </c>
    </row>
    <row r="28" spans="2:5" ht="15" customHeight="1" x14ac:dyDescent="0.25">
      <c r="B28" t="s">
        <v>7</v>
      </c>
      <c r="C28" t="s">
        <v>8</v>
      </c>
      <c r="D28" t="s">
        <v>11</v>
      </c>
      <c r="E28" s="1">
        <v>200</v>
      </c>
    </row>
    <row r="29" spans="2:5" ht="15" customHeight="1" x14ac:dyDescent="0.25">
      <c r="B29" t="s">
        <v>4</v>
      </c>
      <c r="C29" t="s">
        <v>5</v>
      </c>
      <c r="D29" t="s">
        <v>6</v>
      </c>
      <c r="E29" s="1">
        <v>2500</v>
      </c>
    </row>
    <row r="30" spans="2:5" ht="15" customHeight="1" x14ac:dyDescent="0.25"/>
    <row r="31" spans="2:5" ht="15" customHeight="1" x14ac:dyDescent="0.25"/>
    <row r="32" spans="2:5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</sheetData>
  <mergeCells count="1">
    <mergeCell ref="F6:G6"/>
  </mergeCells>
  <pageMargins left="0.511811024" right="0.511811024" top="0.78740157499999996" bottom="0.78740157499999996" header="0.31496062000000002" footer="0.31496062000000002"/>
  <pageSetup paperSize="9" orientation="landscape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304F5-37C2-4A37-8555-7C72B660183B}">
  <sheetPr codeName="Planilha1"/>
  <dimension ref="A1:J78"/>
  <sheetViews>
    <sheetView tabSelected="1" topLeftCell="A13" zoomScaleNormal="100" workbookViewId="0">
      <selection activeCell="B34" sqref="B34"/>
    </sheetView>
  </sheetViews>
  <sheetFormatPr defaultRowHeight="15" x14ac:dyDescent="0.25"/>
  <cols>
    <col min="1" max="1" width="3" customWidth="1"/>
    <col min="2" max="2" width="29.28515625" style="5" bestFit="1" customWidth="1"/>
    <col min="3" max="3" width="13.28515625" style="12" bestFit="1" customWidth="1"/>
    <col min="4" max="4" width="16.42578125" style="7" customWidth="1"/>
    <col min="5" max="5" width="22.85546875" style="10" customWidth="1"/>
    <col min="6" max="6" width="3" customWidth="1"/>
    <col min="7" max="7" width="17.5703125" bestFit="1" customWidth="1"/>
    <col min="8" max="8" width="14.140625" bestFit="1" customWidth="1"/>
    <col min="9" max="9" width="30.28515625" customWidth="1"/>
    <col min="10" max="10" width="3.42578125" customWidth="1"/>
  </cols>
  <sheetData>
    <row r="1" spans="1:10" ht="15" customHeight="1" x14ac:dyDescent="0.25">
      <c r="B1"/>
      <c r="C1"/>
      <c r="D1"/>
      <c r="E1" s="1"/>
    </row>
    <row r="2" spans="1:10" ht="15" customHeight="1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</row>
    <row r="3" spans="1:10" ht="15" customHeight="1" x14ac:dyDescent="0.25">
      <c r="A3" s="31"/>
      <c r="B3" s="31"/>
      <c r="C3" s="31"/>
      <c r="D3" s="31"/>
      <c r="E3" s="31"/>
      <c r="F3" s="31"/>
      <c r="G3" s="31"/>
      <c r="H3" s="31"/>
      <c r="I3" s="31"/>
      <c r="J3" s="31"/>
    </row>
    <row r="4" spans="1:10" ht="15" customHeight="1" x14ac:dyDescent="0.25">
      <c r="A4" s="22" t="s">
        <v>13</v>
      </c>
      <c r="B4" s="22"/>
      <c r="C4" s="22"/>
      <c r="D4" s="22"/>
      <c r="E4" s="22"/>
      <c r="F4" s="22"/>
      <c r="G4" s="22"/>
      <c r="H4" s="22"/>
      <c r="I4" s="22"/>
      <c r="J4" s="19"/>
    </row>
    <row r="5" spans="1:10" ht="15" customHeight="1" thickBot="1" x14ac:dyDescent="0.3">
      <c r="A5" s="23" t="s">
        <v>14</v>
      </c>
      <c r="B5" s="23"/>
      <c r="C5" s="23"/>
      <c r="D5" s="23"/>
      <c r="E5" s="23"/>
      <c r="F5" s="23"/>
      <c r="G5" s="23"/>
      <c r="H5" s="23"/>
      <c r="I5" s="23"/>
      <c r="J5" s="20"/>
    </row>
    <row r="6" spans="1:10" ht="15" customHeight="1" thickTop="1" x14ac:dyDescent="0.25">
      <c r="A6" s="30"/>
      <c r="B6" s="35" t="s">
        <v>26</v>
      </c>
      <c r="C6" s="30"/>
      <c r="D6" s="30"/>
      <c r="E6" s="30"/>
      <c r="F6" s="30"/>
      <c r="G6" s="30"/>
      <c r="H6" s="34"/>
      <c r="I6" s="37"/>
      <c r="J6" s="30"/>
    </row>
    <row r="7" spans="1:10" ht="15" customHeight="1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</row>
    <row r="8" spans="1:10" ht="1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</row>
    <row r="9" spans="1:10" ht="1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</row>
    <row r="10" spans="1:10" ht="15" customHeight="1" x14ac:dyDescent="0.25">
      <c r="A10" s="32"/>
      <c r="B10" s="32"/>
      <c r="C10" s="32"/>
      <c r="D10" s="32"/>
      <c r="E10" s="32"/>
      <c r="F10" s="32"/>
      <c r="G10" s="32"/>
      <c r="H10" s="32"/>
      <c r="I10" s="32"/>
      <c r="J10" s="32"/>
    </row>
    <row r="11" spans="1:10" ht="15" customHeight="1" thickBot="1" x14ac:dyDescent="0.3">
      <c r="A11" s="29"/>
      <c r="B11" s="29" t="s">
        <v>24</v>
      </c>
      <c r="C11" s="29"/>
      <c r="D11" s="29"/>
      <c r="E11" s="29"/>
      <c r="F11" s="29"/>
      <c r="G11" s="29"/>
      <c r="H11" s="29"/>
      <c r="I11" s="29"/>
      <c r="J11" s="29"/>
    </row>
    <row r="12" spans="1:10" ht="15" customHeight="1" thickTop="1" x14ac:dyDescent="0.25">
      <c r="A12" s="30"/>
      <c r="B12" s="30"/>
      <c r="C12" s="30"/>
      <c r="D12" s="30"/>
      <c r="E12" s="30"/>
      <c r="F12" s="30"/>
      <c r="G12" s="30"/>
      <c r="H12" s="30"/>
      <c r="I12" s="30"/>
      <c r="J12" s="30"/>
    </row>
    <row r="13" spans="1:10" ht="15" customHeight="1" x14ac:dyDescent="0.25">
      <c r="B13"/>
      <c r="C13"/>
      <c r="D13"/>
      <c r="E13" s="1"/>
    </row>
    <row r="14" spans="1:10" x14ac:dyDescent="0.25">
      <c r="B14" s="17" t="s">
        <v>17</v>
      </c>
      <c r="C14" s="17"/>
      <c r="D14" s="4" t="s">
        <v>23</v>
      </c>
      <c r="E14" s="11" t="s">
        <v>16</v>
      </c>
      <c r="G14" s="24" t="s">
        <v>15</v>
      </c>
      <c r="H14" s="25" t="s">
        <v>23</v>
      </c>
      <c r="I14" s="26" t="s">
        <v>16</v>
      </c>
    </row>
    <row r="15" spans="1:10" x14ac:dyDescent="0.25">
      <c r="B15" s="6" t="s">
        <v>10</v>
      </c>
      <c r="C15" s="13">
        <f>SUMIF(Vendas!D:D,Análises!B15,Vendas!E:E)</f>
        <v>6000</v>
      </c>
      <c r="D15" s="8">
        <f>COUNTIF(Vendas!D:D,Análises!B15)</f>
        <v>2</v>
      </c>
      <c r="E15" s="9">
        <f>IFERROR(AVERAGEIF(Vendas!D:D,Análises!B15,Vendas!E:E),"Nenhuma Venda")</f>
        <v>3000</v>
      </c>
      <c r="G15" s="28">
        <f>SUM(Vendas!E:E)</f>
        <v>26420</v>
      </c>
      <c r="H15" s="27">
        <f>COUNT(Vendas!E:E)</f>
        <v>15</v>
      </c>
      <c r="I15" s="28">
        <f>AVERAGE(Vendas!E:E)</f>
        <v>1761.3333333333333</v>
      </c>
    </row>
    <row r="16" spans="1:10" x14ac:dyDescent="0.25">
      <c r="B16" s="6" t="s">
        <v>12</v>
      </c>
      <c r="C16" s="13">
        <f>SUMIF(Vendas!D:D,Análises!B16,Vendas!E:E)</f>
        <v>0</v>
      </c>
      <c r="D16" s="8">
        <f>COUNTIF(Vendas!D:D,Análises!B16)</f>
        <v>0</v>
      </c>
      <c r="E16" s="9" t="str">
        <f>IFERROR(AVERAGEIF(Vendas!D:D,Análises!B16,Vendas!E:E),"Nenhuma Venda")</f>
        <v>Nenhuma Venda</v>
      </c>
    </row>
    <row r="17" spans="1:10" x14ac:dyDescent="0.25">
      <c r="B17" s="6" t="s">
        <v>6</v>
      </c>
      <c r="C17" s="13">
        <f>SUMIF(Vendas!D:D,Análises!B17,Vendas!E:E)</f>
        <v>9820</v>
      </c>
      <c r="D17" s="8">
        <f>COUNTIF(Vendas!D:D,Análises!B17)</f>
        <v>5</v>
      </c>
      <c r="E17" s="9">
        <f>IFERROR(AVERAGEIF(Vendas!D:D,Análises!B17,Vendas!E:E),"Nenhuma Venda")</f>
        <v>1964</v>
      </c>
    </row>
    <row r="18" spans="1:10" x14ac:dyDescent="0.25">
      <c r="B18" s="6" t="s">
        <v>11</v>
      </c>
      <c r="C18" s="13">
        <f>SUMIF(Vendas!D:D,Análises!B18,Vendas!E:E)</f>
        <v>10300</v>
      </c>
      <c r="D18" s="8">
        <f>COUNTIF(Vendas!D:D,Análises!B18)</f>
        <v>7</v>
      </c>
      <c r="E18" s="9">
        <f>IFERROR(AVERAGEIF(Vendas!D:D,Análises!B18,Vendas!E:E),"Nenhuma Venda")</f>
        <v>1471.4285714285713</v>
      </c>
    </row>
    <row r="19" spans="1:10" x14ac:dyDescent="0.25">
      <c r="B19" s="6" t="s">
        <v>18</v>
      </c>
      <c r="C19" s="13">
        <f>SUMIF(Vendas!D:D,Análises!B19,Vendas!E:E)</f>
        <v>300</v>
      </c>
      <c r="D19" s="8">
        <f>COUNTIF(Vendas!D:D,Análises!B19)</f>
        <v>1</v>
      </c>
      <c r="E19" s="9">
        <f>IFERROR(AVERAGEIF(Vendas!D:D,Análises!B19,Vendas!E:E),"Nenhuma Venda")</f>
        <v>300</v>
      </c>
    </row>
    <row r="21" spans="1:10" x14ac:dyDescent="0.25">
      <c r="B21" s="17" t="s">
        <v>19</v>
      </c>
      <c r="C21" s="17"/>
      <c r="D21" s="4" t="s">
        <v>23</v>
      </c>
      <c r="E21" s="11" t="s">
        <v>16</v>
      </c>
    </row>
    <row r="22" spans="1:10" x14ac:dyDescent="0.25">
      <c r="B22" s="6" t="s">
        <v>5</v>
      </c>
      <c r="C22" s="13">
        <f>SUMIF(Vendas!C:C,Análises!B22,Vendas!E:E)</f>
        <v>21700</v>
      </c>
      <c r="D22" s="8">
        <f>COUNTIF(Vendas!C:C,Análises!B22)</f>
        <v>7</v>
      </c>
      <c r="E22" s="9">
        <f>AVERAGEIF(Vendas!C:C,Análises!B22,Vendas!E:E)</f>
        <v>3100</v>
      </c>
    </row>
    <row r="23" spans="1:10" x14ac:dyDescent="0.25">
      <c r="B23" s="6" t="s">
        <v>8</v>
      </c>
      <c r="C23" s="13">
        <f>SUMIF(Vendas!C:C,Análises!B23,Vendas!E:E)</f>
        <v>3920</v>
      </c>
      <c r="D23" s="8">
        <f>COUNTIF(Vendas!C:C,Análises!B23)</f>
        <v>6</v>
      </c>
      <c r="E23" s="9">
        <f>AVERAGEIF(Vendas!C:C,Análises!B23,Vendas!E:E)</f>
        <v>653.33333333333337</v>
      </c>
    </row>
    <row r="24" spans="1:10" x14ac:dyDescent="0.25">
      <c r="B24" s="6" t="s">
        <v>9</v>
      </c>
      <c r="C24" s="13">
        <f>SUMIF(Vendas!C:C,Análises!B24,Vendas!E:E)</f>
        <v>0</v>
      </c>
      <c r="D24" s="8">
        <f>COUNTIF(Vendas!C:C,Análises!B24)</f>
        <v>0</v>
      </c>
      <c r="E24" s="9" t="str">
        <f>IFERROR(AVERAGEIF(Vendas!C:C,Análises!B24,Vendas!E:E),"Nenhuma Venda")</f>
        <v>Nenhuma Venda</v>
      </c>
    </row>
    <row r="25" spans="1:10" x14ac:dyDescent="0.25">
      <c r="B25" s="6" t="s">
        <v>20</v>
      </c>
      <c r="C25" s="13">
        <f>SUMIF(Vendas!C:C,Análises!B25,Vendas!E:E)</f>
        <v>800</v>
      </c>
      <c r="D25" s="8">
        <f>COUNTIF(Vendas!C:C,Análises!B25)</f>
        <v>2</v>
      </c>
      <c r="E25" s="9">
        <f>AVERAGEIF(Vendas!C:C,Análises!B25,Vendas!E:E)</f>
        <v>400</v>
      </c>
    </row>
    <row r="27" spans="1:10" x14ac:dyDescent="0.25">
      <c r="B27" s="17" t="s">
        <v>21</v>
      </c>
      <c r="C27" s="17"/>
      <c r="D27" s="4" t="s">
        <v>23</v>
      </c>
      <c r="E27" s="11" t="s">
        <v>16</v>
      </c>
    </row>
    <row r="28" spans="1:10" x14ac:dyDescent="0.25">
      <c r="B28" s="6" t="s">
        <v>7</v>
      </c>
      <c r="C28" s="13">
        <f>SUMIF(Vendas!B:B,Análises!B28,Vendas!E:E)</f>
        <v>6420</v>
      </c>
      <c r="D28" s="8">
        <f>COUNTIF(Vendas!B:B,Análises!B28)</f>
        <v>7</v>
      </c>
      <c r="E28" s="9">
        <f>IFERROR(AVERAGEIF(Vendas!B:B,Análises!B28,Vendas!E:E),"Nenhuma venda")</f>
        <v>917.14285714285711</v>
      </c>
    </row>
    <row r="29" spans="1:10" x14ac:dyDescent="0.25">
      <c r="B29" s="6" t="s">
        <v>4</v>
      </c>
      <c r="C29" s="13">
        <f>SUMIF(Vendas!B:B,Análises!B29,Vendas!E:E)</f>
        <v>20000</v>
      </c>
      <c r="D29" s="8">
        <f>COUNTIF(Vendas!B:B,Análises!B29)</f>
        <v>8</v>
      </c>
      <c r="E29" s="9">
        <f>IFERROR(AVERAGEIF(Vendas!B:B,Análises!B29,Vendas!E:E),"Nenhuma venda")</f>
        <v>2500</v>
      </c>
    </row>
    <row r="30" spans="1:10" x14ac:dyDescent="0.25">
      <c r="B30" s="6" t="s">
        <v>22</v>
      </c>
      <c r="C30" s="13">
        <f>SUMIF(Vendas!B:B,Análises!B30,Vendas!E:E)</f>
        <v>0</v>
      </c>
      <c r="D30" s="8">
        <f>COUNTIF(Vendas!B:B,Análises!B30)</f>
        <v>0</v>
      </c>
      <c r="E30" s="9" t="str">
        <f>IFERROR(AVERAGEIF(Vendas!B:B,Análises!B30,Vendas!E:E),"Nenhuma venda")</f>
        <v>Nenhuma venda</v>
      </c>
    </row>
    <row r="32" spans="1:10" x14ac:dyDescent="0.25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x14ac:dyDescent="0.25">
      <c r="A33" s="32"/>
      <c r="B33" s="32"/>
      <c r="C33" s="32"/>
      <c r="D33" s="32"/>
      <c r="E33" s="32"/>
      <c r="F33" s="32"/>
      <c r="G33" s="32"/>
      <c r="H33" s="32"/>
      <c r="I33" s="32"/>
      <c r="J33" s="32"/>
    </row>
    <row r="34" spans="1:10" ht="19.5" thickBot="1" x14ac:dyDescent="0.3">
      <c r="A34" s="29"/>
      <c r="B34" s="29" t="s">
        <v>25</v>
      </c>
      <c r="C34" s="29"/>
      <c r="D34" s="29"/>
      <c r="E34" s="29"/>
      <c r="F34" s="29"/>
      <c r="G34" s="29"/>
      <c r="H34" s="29"/>
      <c r="I34" s="29"/>
      <c r="J34" s="29"/>
    </row>
    <row r="35" spans="1:10" ht="15.75" thickTop="1" x14ac:dyDescent="0.25">
      <c r="A35" s="30"/>
      <c r="B35" s="30"/>
      <c r="C35" s="30"/>
      <c r="D35" s="30"/>
      <c r="E35" s="30"/>
      <c r="F35" s="30"/>
      <c r="G35" s="30"/>
      <c r="H35" s="30"/>
      <c r="I35" s="30"/>
      <c r="J35" s="30"/>
    </row>
    <row r="75" spans="1:10" ht="15.75" thickBot="1" x14ac:dyDescent="0.3">
      <c r="A75" s="23"/>
      <c r="B75" s="23"/>
      <c r="C75" s="23"/>
      <c r="D75" s="23"/>
      <c r="E75" s="23"/>
      <c r="F75" s="23"/>
      <c r="G75" s="23"/>
      <c r="H75" s="23"/>
      <c r="I75" s="23"/>
      <c r="J75" s="21"/>
    </row>
    <row r="76" spans="1:10" ht="16.5" thickTop="1" thickBot="1" x14ac:dyDescent="0.3">
      <c r="A76" s="23"/>
      <c r="B76" s="23"/>
      <c r="C76" s="23"/>
      <c r="D76" s="23"/>
      <c r="E76" s="23"/>
      <c r="F76" s="23"/>
      <c r="G76" s="23"/>
      <c r="H76" s="23"/>
      <c r="I76" s="23"/>
      <c r="J76" s="21"/>
    </row>
    <row r="77" spans="1:10" ht="15.75" thickTop="1" x14ac:dyDescent="0.25">
      <c r="A77" s="31"/>
      <c r="B77" s="31"/>
      <c r="C77" s="31"/>
      <c r="D77" s="31"/>
      <c r="E77" s="31"/>
      <c r="F77" s="31"/>
      <c r="G77" s="31"/>
      <c r="H77" s="31"/>
      <c r="I77" s="31"/>
      <c r="J77" s="31"/>
    </row>
    <row r="78" spans="1:10" x14ac:dyDescent="0.25">
      <c r="A78" s="16"/>
      <c r="B78" s="16"/>
      <c r="C78" s="16"/>
      <c r="D78" s="16"/>
      <c r="E78" s="16"/>
      <c r="F78" s="16"/>
      <c r="G78" s="16"/>
      <c r="H78" s="16"/>
      <c r="I78" s="16"/>
      <c r="J78" s="16"/>
    </row>
  </sheetData>
  <sortState xmlns:xlrd2="http://schemas.microsoft.com/office/spreadsheetml/2017/richdata2" ref="B28:B30">
    <sortCondition ref="B28:B30"/>
  </sortState>
  <mergeCells count="9">
    <mergeCell ref="A75:I75"/>
    <mergeCell ref="A76:I76"/>
    <mergeCell ref="A78:J78"/>
    <mergeCell ref="B14:C14"/>
    <mergeCell ref="A5:I5"/>
    <mergeCell ref="A4:I4"/>
    <mergeCell ref="A2:J2"/>
    <mergeCell ref="B27:C27"/>
    <mergeCell ref="B21:C2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Vendas</vt:lpstr>
      <vt:lpstr>Análises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Wagner</dc:creator>
  <cp:lastModifiedBy>Julio Carvalho</cp:lastModifiedBy>
  <cp:lastPrinted>2023-06-29T15:05:41Z</cp:lastPrinted>
  <dcterms:created xsi:type="dcterms:W3CDTF">2022-10-06T16:26:33Z</dcterms:created>
  <dcterms:modified xsi:type="dcterms:W3CDTF">2023-07-02T13:53:43Z</dcterms:modified>
</cp:coreProperties>
</file>